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Cálculo" sheetId="2" state="visible" r:id="rId2"/>
    <sheet name="Tablero" sheetId="3" state="visible" r:id="rId3"/>
  </sheets>
  <definedNames>
    <definedName name="_xlnm._FilterDatabase" localSheetId="0" hidden="1">'Prospectos'!$A$2:$V$203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;($#,##0);-"/>
    <numFmt numFmtId="166" formatCode="$#,##0"/>
    <numFmt numFmtId="167" formatCode="0.0"/>
    <numFmt numFmtId="168" formatCode="$#,##0.00"/>
    <numFmt numFmtId="169" formatCode="0.00;-0.00;0"/>
  </numFmts>
  <fonts count="15">
    <font>
      <name val="Calibri"/>
      <family val="2"/>
      <color theme="1"/>
      <sz val="11"/>
      <scheme val="minor"/>
    </font>
    <font>
      <name val="Arial"/>
      <b val="1"/>
      <color rgb="001A1713"/>
      <sz val="13"/>
    </font>
    <font>
      <name val="Arial"/>
      <i val="1"/>
      <color rgb="004A423A"/>
      <sz val="9"/>
    </font>
    <font>
      <name val="Arial"/>
      <b val="1"/>
      <color rgb="001A1713"/>
      <sz val="9"/>
    </font>
    <font>
      <name val="Arial"/>
      <color rgb="001A1713"/>
      <sz val="10"/>
    </font>
    <font>
      <name val="Arial"/>
      <b val="1"/>
      <color rgb="001A1713"/>
      <sz val="10"/>
    </font>
    <font>
      <name val="Arial"/>
      <i val="1"/>
      <color rgb="004A423A"/>
      <sz val="10"/>
    </font>
    <font>
      <name val="Arial"/>
      <b val="1"/>
      <color rgb="00B85206"/>
      <sz val="11"/>
    </font>
    <font>
      <name val="Arial"/>
      <b val="1"/>
      <color rgb="000000FF"/>
      <sz val="11"/>
    </font>
    <font>
      <name val="Arial"/>
      <b val="1"/>
      <color rgb="001A1713"/>
      <sz val="12"/>
    </font>
    <font>
      <name val="Arial"/>
      <color rgb="004A423A"/>
      <sz val="9"/>
    </font>
    <font>
      <name val="Arial"/>
      <color rgb="000000FF"/>
      <sz val="10"/>
    </font>
    <font>
      <name val="Arial"/>
      <b val="1"/>
      <color rgb="001A1713"/>
      <sz val="11"/>
    </font>
    <font>
      <name val="Arial"/>
      <color rgb="004A423A"/>
      <sz val="10"/>
    </font>
    <font>
      <name val="Arial"/>
      <color rgb="001A1713"/>
      <sz val="11"/>
    </font>
  </fonts>
  <fills count="5">
    <fill>
      <patternFill/>
    </fill>
    <fill>
      <patternFill patternType="gray125"/>
    </fill>
    <fill>
      <patternFill patternType="solid">
        <fgColor rgb="00E9E4DB"/>
      </patternFill>
    </fill>
    <fill>
      <patternFill patternType="solid">
        <fgColor rgb="00FFF9E8"/>
      </patternFill>
    </fill>
    <fill>
      <patternFill patternType="solid">
        <fgColor rgb="00F2EFE9"/>
      </patternFill>
    </fill>
  </fills>
  <borders count="7">
    <border>
      <left/>
      <right/>
      <top/>
      <bottom/>
      <diagonal/>
    </border>
    <border>
      <left style="thin">
        <color rgb="00D8D0C3"/>
      </left>
      <right style="thin">
        <color rgb="00D8D0C3"/>
      </right>
      <top style="thin">
        <color rgb="00D8D0C3"/>
      </top>
      <bottom style="thin">
        <color rgb="00D8D0C3"/>
      </bottom>
    </border>
    <border>
      <bottom style="thin">
        <color rgb="00B85206"/>
      </bottom>
    </border>
    <border>
      <left/>
      <right/>
      <top style="thin">
        <color rgb="00D8D0C3"/>
      </top>
      <bottom/>
      <diagonal/>
    </border>
    <border>
      <left/>
      <right style="thin">
        <color rgb="00D8D0C3"/>
      </right>
      <top style="thin">
        <color rgb="00D8D0C3"/>
      </top>
      <bottom/>
      <diagonal/>
    </border>
    <border>
      <left/>
      <right/>
      <top style="thin">
        <color rgb="00D8D0C3"/>
      </top>
      <bottom style="thin">
        <color rgb="00D8D0C3"/>
      </bottom>
      <diagonal/>
    </border>
    <border>
      <left/>
      <right style="thin">
        <color rgb="00D8D0C3"/>
      </right>
      <top style="thin">
        <color rgb="00D8D0C3"/>
      </top>
      <bottom style="thin">
        <color rgb="00D8D0C3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9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5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9" fontId="4" fillId="3" borderId="1" applyAlignment="1" pivotButton="0" quotePrefix="0" xfId="0">
      <alignment vertical="top"/>
    </xf>
    <xf numFmtId="166" fontId="4" fillId="3" borderId="1" applyAlignment="1" pivotButton="0" quotePrefix="0" xfId="0">
      <alignment vertical="top"/>
    </xf>
    <xf numFmtId="165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7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4" fillId="0" borderId="0" pivotButton="0" quotePrefix="0" xfId="0"/>
    <xf numFmtId="1" fontId="8" fillId="3" borderId="1" pivotButton="0" quotePrefix="0" xfId="0"/>
    <xf numFmtId="9" fontId="8" fillId="3" borderId="1" pivotButton="0" quotePrefix="0" xfId="0"/>
    <xf numFmtId="166" fontId="8" fillId="3" borderId="1" pivotButton="0" quotePrefix="0" xfId="0"/>
    <xf numFmtId="167" fontId="8" fillId="3" borderId="1" pivotButton="0" quotePrefix="0" xfId="0"/>
    <xf numFmtId="168" fontId="8" fillId="3" borderId="1" pivotButton="0" quotePrefix="0" xfId="0"/>
    <xf numFmtId="0" fontId="4" fillId="0" borderId="2" pivotButton="0" quotePrefix="0" xfId="0"/>
    <xf numFmtId="167" fontId="4" fillId="4" borderId="1" pivotButton="0" quotePrefix="0" xfId="0"/>
    <xf numFmtId="166" fontId="4" fillId="4" borderId="1" pivotButton="0" quotePrefix="0" xfId="0"/>
    <xf numFmtId="0" fontId="5" fillId="0" borderId="0" pivotButton="0" quotePrefix="0" xfId="0"/>
    <xf numFmtId="166" fontId="9" fillId="4" borderId="1" pivotButton="0" quotePrefix="0" xfId="0"/>
    <xf numFmtId="0" fontId="7" fillId="4" borderId="1" pivotButton="0" quotePrefix="0" xfId="0"/>
    <xf numFmtId="0" fontId="10" fillId="0" borderId="0" pivotButton="0" quotePrefix="0" xfId="0"/>
    <xf numFmtId="166" fontId="11" fillId="3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3" fillId="2" borderId="1" applyAlignment="1" pivotButton="0" quotePrefix="0" xfId="0">
      <alignment horizontal="center" wrapText="1"/>
    </xf>
    <xf numFmtId="0" fontId="6" fillId="3" borderId="1" pivotButton="0" quotePrefix="0" xfId="0"/>
    <xf numFmtId="166" fontId="6" fillId="4" borderId="1" pivotButton="0" quotePrefix="0" xfId="0"/>
    <xf numFmtId="169" fontId="12" fillId="0" borderId="1" pivotButton="0" quotePrefix="0" xfId="0"/>
    <xf numFmtId="1" fontId="9" fillId="4" borderId="1" pivotButton="0" quotePrefix="0" xfId="0"/>
    <xf numFmtId="1" fontId="13" fillId="0" borderId="0" pivotButton="0" quotePrefix="0" xfId="0"/>
    <xf numFmtId="1" fontId="14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F3E6"/>
        </patternFill>
      </fill>
    </dxf>
    <dxf>
      <fill>
        <patternFill patternType="solid">
          <fgColor rgb="00E4F0E4"/>
        </patternFill>
      </fill>
    </dxf>
    <dxf>
      <fill>
        <patternFill patternType="solid">
          <fgColor rgb="00FBE3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26" customWidth="1" min="4" max="4"/>
    <col width="12" customWidth="1" min="5" max="5"/>
    <col width="12" customWidth="1" min="6" max="6"/>
    <col width="13" customWidth="1" min="7" max="7"/>
    <col width="17" customWidth="1" min="8" max="8"/>
    <col width="7" customWidth="1" min="9" max="9"/>
    <col width="7" customWidth="1" min="10" max="10"/>
    <col width="7" customWidth="1" min="11" max="11"/>
    <col width="9" customWidth="1" min="12" max="12"/>
    <col width="7" customWidth="1" min="13" max="13"/>
    <col width="8" customWidth="1" min="14" max="14"/>
    <col width="13" customWidth="1" min="15" max="15"/>
    <col width="12" customWidth="1" min="16" max="16"/>
    <col width="15" customWidth="1" min="17" max="17"/>
    <col width="13" customWidth="1" min="18" max="18"/>
    <col width="16" customWidth="1" min="19" max="19"/>
    <col width="12" customWidth="1" min="20" max="20"/>
    <col width="17" customWidth="1" min="21" max="21"/>
    <col width="46" customWidth="1" min="22" max="22"/>
  </cols>
  <sheetData>
    <row r="1">
      <c r="A1" s="1" t="inlineStr">
        <is>
          <t>PROSPECTOS — sprint de septiembre</t>
        </is>
      </c>
      <c r="D1" s="2" t="inlineStr">
        <is>
          <t>Amarillo: se completa a mano.  Gris: se calcula solo, no escribir.  La fila 3 es un ejemplo del formato y no se cuenta: cargá desde la fila 4.  La mañana arranca filtrando "Próximo toque" hasta hoy.</t>
        </is>
      </c>
    </row>
    <row r="2" ht="30" customHeight="1">
      <c r="A2" s="3" t="inlineStr">
        <is>
          <t>Nombre</t>
        </is>
      </c>
      <c r="B2" s="3" t="inlineStr">
        <is>
          <t>Negocio</t>
        </is>
      </c>
      <c r="C2" s="3" t="inlineStr">
        <is>
          <t>Origen</t>
        </is>
      </c>
      <c r="D2" s="3" t="inlineStr">
        <is>
          <t>Dolor</t>
        </is>
      </c>
      <c r="E2" s="3" t="inlineStr">
        <is>
          <t>1er contacto</t>
        </is>
      </c>
      <c r="F2" s="3" t="inlineStr">
        <is>
          <t>Último toque</t>
        </is>
      </c>
      <c r="G2" s="3" t="inlineStr">
        <is>
          <t>Próximo toque</t>
        </is>
      </c>
      <c r="H2" s="3" t="inlineStr">
        <is>
          <t>Estado</t>
        </is>
      </c>
      <c r="I2" s="3" t="inlineStr">
        <is>
          <t>C</t>
        </is>
      </c>
      <c r="J2" s="3" t="inlineStr">
        <is>
          <t>F</t>
        </is>
      </c>
      <c r="K2" s="3" t="inlineStr">
        <is>
          <t>P</t>
        </is>
      </c>
      <c r="L2" s="3" t="inlineStr">
        <is>
          <t>T</t>
        </is>
      </c>
      <c r="M2" s="3" t="inlineStr">
        <is>
          <t>H</t>
        </is>
      </c>
      <c r="N2" s="3" t="inlineStr">
        <is>
          <t>V</t>
        </is>
      </c>
      <c r="O2" s="3" t="inlineStr">
        <is>
          <t>Total mensual</t>
        </is>
      </c>
      <c r="P2" s="3" t="inlineStr">
        <is>
          <t>Total × 6</t>
        </is>
      </c>
      <c r="Q2" s="3" t="inlineStr">
        <is>
          <t>Nivel sugerido</t>
        </is>
      </c>
      <c r="R2" s="3" t="inlineStr">
        <is>
          <t>Facturación</t>
        </is>
      </c>
      <c r="S2" s="3" t="inlineStr">
        <is>
          <t>Quién decide</t>
        </is>
      </c>
      <c r="T2" s="3" t="inlineStr">
        <is>
          <t>Precio dicho</t>
        </is>
      </c>
      <c r="U2" s="3" t="inlineStr">
        <is>
          <t>Medio de pago</t>
        </is>
      </c>
      <c r="V2" s="3" t="inlineStr">
        <is>
          <t>Notas textuales</t>
        </is>
      </c>
    </row>
    <row r="3">
      <c r="A3" s="4" t="inlineStr">
        <is>
          <t>Ejemplo: Javier Ortega</t>
        </is>
      </c>
      <c r="B3" s="4" t="inlineStr">
        <is>
          <t>Asesoría fiscal (Valencia)</t>
        </is>
      </c>
      <c r="C3" s="4" t="inlineStr">
        <is>
          <t>F</t>
        </is>
      </c>
      <c r="D3" s="4" t="inlineStr">
        <is>
          <t>1 · Seguimiento de leads y respuesta lenta</t>
        </is>
      </c>
      <c r="E3" s="5" t="n">
        <v>46267</v>
      </c>
      <c r="F3" s="5" t="n">
        <v>46267</v>
      </c>
      <c r="G3" s="5" t="n">
        <v>46269</v>
      </c>
      <c r="H3" s="4" t="inlineStr">
        <is>
          <t>abierto</t>
        </is>
      </c>
      <c r="I3" s="4" t="n">
        <v>100</v>
      </c>
      <c r="J3" s="6" t="n">
        <v>0.2</v>
      </c>
      <c r="K3" s="6" t="n">
        <v>0.25</v>
      </c>
      <c r="L3" s="7" t="n">
        <v>200</v>
      </c>
      <c r="M3" s="4" t="n">
        <v>12</v>
      </c>
      <c r="N3" s="7" t="n">
        <v>9</v>
      </c>
      <c r="O3" s="8">
        <f>IF(COUNT(I3:L3)+COUNT(M3:N3)=0,"",IFERROR(I3*J3*K3*L3,0)+IFERROR(M3*4.3*N3,0))</f>
        <v/>
      </c>
      <c r="P3" s="8">
        <f>IF(O3="","",O3*6)</f>
        <v/>
      </c>
      <c r="Q3" s="9">
        <f>IF(P3="","",IF(R3="&lt;10k","Todavía no",IF(P3&lt;1500,"Todavía no",IF(P3&lt;3500,"Nivel 1","Nivel 2 o 3"))))</f>
        <v/>
      </c>
      <c r="R3" s="4" t="inlineStr">
        <is>
          <t>10–50k</t>
        </is>
      </c>
      <c r="S3" s="4" t="inlineStr">
        <is>
          <t>Él con un socio</t>
        </is>
      </c>
      <c r="T3" s="5" t="n">
        <v>46268</v>
      </c>
      <c r="U3" s="4" t="inlineStr">
        <is>
          <t>Link tarjeta USD</t>
        </is>
      </c>
      <c r="V3" s="10" t="inlineStr">
        <is>
          <t>Perdió 2 clientes en agosto. El comercial se va en octubre.</t>
        </is>
      </c>
    </row>
    <row r="4">
      <c r="A4" s="11" t="n"/>
      <c r="B4" s="11" t="n"/>
      <c r="C4" s="11" t="n"/>
      <c r="D4" s="11" t="n"/>
      <c r="E4" s="12" t="n"/>
      <c r="F4" s="12" t="n"/>
      <c r="G4" s="12" t="n"/>
      <c r="H4" s="11" t="n"/>
      <c r="I4" s="11" t="n"/>
      <c r="J4" s="13" t="n"/>
      <c r="K4" s="13" t="n"/>
      <c r="L4" s="14" t="n"/>
      <c r="M4" s="11" t="n"/>
      <c r="N4" s="14" t="n"/>
      <c r="O4" s="15">
        <f>IF(COUNT(I4:L4)+COUNT(M4:N4)=0,"",IFERROR(I4*J4*K4*L4,0)+IFERROR(M4*4.3*N4,0))</f>
        <v/>
      </c>
      <c r="P4" s="15">
        <f>IF(O4="","",O4*6)</f>
        <v/>
      </c>
      <c r="Q4" s="16">
        <f>IF(P4="","",IF(R4="&lt;10k","Todavía no",IF(P4&lt;1500,"Todavía no",IF(P4&lt;3500,"Nivel 1","Nivel 2 o 3"))))</f>
        <v/>
      </c>
      <c r="R4" s="11" t="n"/>
      <c r="S4" s="11" t="n"/>
      <c r="T4" s="12" t="n"/>
      <c r="U4" s="11" t="n"/>
      <c r="V4" s="17" t="n"/>
    </row>
    <row r="5">
      <c r="A5" s="11" t="n"/>
      <c r="B5" s="11" t="n"/>
      <c r="C5" s="11" t="n"/>
      <c r="D5" s="11" t="n"/>
      <c r="E5" s="12" t="n"/>
      <c r="F5" s="12" t="n"/>
      <c r="G5" s="12" t="n"/>
      <c r="H5" s="11" t="n"/>
      <c r="I5" s="11" t="n"/>
      <c r="J5" s="13" t="n"/>
      <c r="K5" s="13" t="n"/>
      <c r="L5" s="14" t="n"/>
      <c r="M5" s="11" t="n"/>
      <c r="N5" s="14" t="n"/>
      <c r="O5" s="15">
        <f>IF(COUNT(I5:L5)+COUNT(M5:N5)=0,"",IFERROR(I5*J5*K5*L5,0)+IFERROR(M5*4.3*N5,0))</f>
        <v/>
      </c>
      <c r="P5" s="15">
        <f>IF(O5="","",O5*6)</f>
        <v/>
      </c>
      <c r="Q5" s="16">
        <f>IF(P5="","",IF(R5="&lt;10k","Todavía no",IF(P5&lt;1500,"Todavía no",IF(P5&lt;3500,"Nivel 1","Nivel 2 o 3"))))</f>
        <v/>
      </c>
      <c r="R5" s="11" t="n"/>
      <c r="S5" s="11" t="n"/>
      <c r="T5" s="12" t="n"/>
      <c r="U5" s="11" t="n"/>
      <c r="V5" s="17" t="n"/>
    </row>
    <row r="6">
      <c r="A6" s="11" t="n"/>
      <c r="B6" s="11" t="n"/>
      <c r="C6" s="11" t="n"/>
      <c r="D6" s="11" t="n"/>
      <c r="E6" s="12" t="n"/>
      <c r="F6" s="12" t="n"/>
      <c r="G6" s="12" t="n"/>
      <c r="H6" s="11" t="n"/>
      <c r="I6" s="11" t="n"/>
      <c r="J6" s="13" t="n"/>
      <c r="K6" s="13" t="n"/>
      <c r="L6" s="14" t="n"/>
      <c r="M6" s="11" t="n"/>
      <c r="N6" s="14" t="n"/>
      <c r="O6" s="15">
        <f>IF(COUNT(I6:L6)+COUNT(M6:N6)=0,"",IFERROR(I6*J6*K6*L6,0)+IFERROR(M6*4.3*N6,0))</f>
        <v/>
      </c>
      <c r="P6" s="15">
        <f>IF(O6="","",O6*6)</f>
        <v/>
      </c>
      <c r="Q6" s="16">
        <f>IF(P6="","",IF(R6="&lt;10k","Todavía no",IF(P6&lt;1500,"Todavía no",IF(P6&lt;3500,"Nivel 1","Nivel 2 o 3"))))</f>
        <v/>
      </c>
      <c r="R6" s="11" t="n"/>
      <c r="S6" s="11" t="n"/>
      <c r="T6" s="12" t="n"/>
      <c r="U6" s="11" t="n"/>
      <c r="V6" s="17" t="n"/>
    </row>
    <row r="7">
      <c r="A7" s="11" t="n"/>
      <c r="B7" s="11" t="n"/>
      <c r="C7" s="11" t="n"/>
      <c r="D7" s="11" t="n"/>
      <c r="E7" s="12" t="n"/>
      <c r="F7" s="12" t="n"/>
      <c r="G7" s="12" t="n"/>
      <c r="H7" s="11" t="n"/>
      <c r="I7" s="11" t="n"/>
      <c r="J7" s="13" t="n"/>
      <c r="K7" s="13" t="n"/>
      <c r="L7" s="14" t="n"/>
      <c r="M7" s="11" t="n"/>
      <c r="N7" s="14" t="n"/>
      <c r="O7" s="15">
        <f>IF(COUNT(I7:L7)+COUNT(M7:N7)=0,"",IFERROR(I7*J7*K7*L7,0)+IFERROR(M7*4.3*N7,0))</f>
        <v/>
      </c>
      <c r="P7" s="15">
        <f>IF(O7="","",O7*6)</f>
        <v/>
      </c>
      <c r="Q7" s="16">
        <f>IF(P7="","",IF(R7="&lt;10k","Todavía no",IF(P7&lt;1500,"Todavía no",IF(P7&lt;3500,"Nivel 1","Nivel 2 o 3"))))</f>
        <v/>
      </c>
      <c r="R7" s="11" t="n"/>
      <c r="S7" s="11" t="n"/>
      <c r="T7" s="12" t="n"/>
      <c r="U7" s="11" t="n"/>
      <c r="V7" s="17" t="n"/>
    </row>
    <row r="8">
      <c r="A8" s="11" t="n"/>
      <c r="B8" s="11" t="n"/>
      <c r="C8" s="11" t="n"/>
      <c r="D8" s="11" t="n"/>
      <c r="E8" s="12" t="n"/>
      <c r="F8" s="12" t="n"/>
      <c r="G8" s="12" t="n"/>
      <c r="H8" s="11" t="n"/>
      <c r="I8" s="11" t="n"/>
      <c r="J8" s="13" t="n"/>
      <c r="K8" s="13" t="n"/>
      <c r="L8" s="14" t="n"/>
      <c r="M8" s="11" t="n"/>
      <c r="N8" s="14" t="n"/>
      <c r="O8" s="15">
        <f>IF(COUNT(I8:L8)+COUNT(M8:N8)=0,"",IFERROR(I8*J8*K8*L8,0)+IFERROR(M8*4.3*N8,0))</f>
        <v/>
      </c>
      <c r="P8" s="15">
        <f>IF(O8="","",O8*6)</f>
        <v/>
      </c>
      <c r="Q8" s="16">
        <f>IF(P8="","",IF(R8="&lt;10k","Todavía no",IF(P8&lt;1500,"Todavía no",IF(P8&lt;3500,"Nivel 1","Nivel 2 o 3"))))</f>
        <v/>
      </c>
      <c r="R8" s="11" t="n"/>
      <c r="S8" s="11" t="n"/>
      <c r="T8" s="12" t="n"/>
      <c r="U8" s="11" t="n"/>
      <c r="V8" s="17" t="n"/>
    </row>
    <row r="9">
      <c r="A9" s="11" t="n"/>
      <c r="B9" s="11" t="n"/>
      <c r="C9" s="11" t="n"/>
      <c r="D9" s="11" t="n"/>
      <c r="E9" s="12" t="n"/>
      <c r="F9" s="12" t="n"/>
      <c r="G9" s="12" t="n"/>
      <c r="H9" s="11" t="n"/>
      <c r="I9" s="11" t="n"/>
      <c r="J9" s="13" t="n"/>
      <c r="K9" s="13" t="n"/>
      <c r="L9" s="14" t="n"/>
      <c r="M9" s="11" t="n"/>
      <c r="N9" s="14" t="n"/>
      <c r="O9" s="15">
        <f>IF(COUNT(I9:L9)+COUNT(M9:N9)=0,"",IFERROR(I9*J9*K9*L9,0)+IFERROR(M9*4.3*N9,0))</f>
        <v/>
      </c>
      <c r="P9" s="15">
        <f>IF(O9="","",O9*6)</f>
        <v/>
      </c>
      <c r="Q9" s="16">
        <f>IF(P9="","",IF(R9="&lt;10k","Todavía no",IF(P9&lt;1500,"Todavía no",IF(P9&lt;3500,"Nivel 1","Nivel 2 o 3"))))</f>
        <v/>
      </c>
      <c r="R9" s="11" t="n"/>
      <c r="S9" s="11" t="n"/>
      <c r="T9" s="12" t="n"/>
      <c r="U9" s="11" t="n"/>
      <c r="V9" s="17" t="n"/>
    </row>
    <row r="10">
      <c r="A10" s="11" t="n"/>
      <c r="B10" s="11" t="n"/>
      <c r="C10" s="11" t="n"/>
      <c r="D10" s="11" t="n"/>
      <c r="E10" s="12" t="n"/>
      <c r="F10" s="12" t="n"/>
      <c r="G10" s="12" t="n"/>
      <c r="H10" s="11" t="n"/>
      <c r="I10" s="11" t="n"/>
      <c r="J10" s="13" t="n"/>
      <c r="K10" s="13" t="n"/>
      <c r="L10" s="14" t="n"/>
      <c r="M10" s="11" t="n"/>
      <c r="N10" s="14" t="n"/>
      <c r="O10" s="15">
        <f>IF(COUNT(I10:L10)+COUNT(M10:N10)=0,"",IFERROR(I10*J10*K10*L10,0)+IFERROR(M10*4.3*N10,0))</f>
        <v/>
      </c>
      <c r="P10" s="15">
        <f>IF(O10="","",O10*6)</f>
        <v/>
      </c>
      <c r="Q10" s="16">
        <f>IF(P10="","",IF(R10="&lt;10k","Todavía no",IF(P10&lt;1500,"Todavía no",IF(P10&lt;3500,"Nivel 1","Nivel 2 o 3"))))</f>
        <v/>
      </c>
      <c r="R10" s="11" t="n"/>
      <c r="S10" s="11" t="n"/>
      <c r="T10" s="12" t="n"/>
      <c r="U10" s="11" t="n"/>
      <c r="V10" s="17" t="n"/>
    </row>
    <row r="11">
      <c r="A11" s="11" t="n"/>
      <c r="B11" s="11" t="n"/>
      <c r="C11" s="11" t="n"/>
      <c r="D11" s="11" t="n"/>
      <c r="E11" s="12" t="n"/>
      <c r="F11" s="12" t="n"/>
      <c r="G11" s="12" t="n"/>
      <c r="H11" s="11" t="n"/>
      <c r="I11" s="11" t="n"/>
      <c r="J11" s="13" t="n"/>
      <c r="K11" s="13" t="n"/>
      <c r="L11" s="14" t="n"/>
      <c r="M11" s="11" t="n"/>
      <c r="N11" s="14" t="n"/>
      <c r="O11" s="15">
        <f>IF(COUNT(I11:L11)+COUNT(M11:N11)=0,"",IFERROR(I11*J11*K11*L11,0)+IFERROR(M11*4.3*N11,0))</f>
        <v/>
      </c>
      <c r="P11" s="15">
        <f>IF(O11="","",O11*6)</f>
        <v/>
      </c>
      <c r="Q11" s="16">
        <f>IF(P11="","",IF(R11="&lt;10k","Todavía no",IF(P11&lt;1500,"Todavía no",IF(P11&lt;3500,"Nivel 1","Nivel 2 o 3"))))</f>
        <v/>
      </c>
      <c r="R11" s="11" t="n"/>
      <c r="S11" s="11" t="n"/>
      <c r="T11" s="12" t="n"/>
      <c r="U11" s="11" t="n"/>
      <c r="V11" s="17" t="n"/>
    </row>
    <row r="12">
      <c r="A12" s="11" t="n"/>
      <c r="B12" s="11" t="n"/>
      <c r="C12" s="11" t="n"/>
      <c r="D12" s="11" t="n"/>
      <c r="E12" s="12" t="n"/>
      <c r="F12" s="12" t="n"/>
      <c r="G12" s="12" t="n"/>
      <c r="H12" s="11" t="n"/>
      <c r="I12" s="11" t="n"/>
      <c r="J12" s="13" t="n"/>
      <c r="K12" s="13" t="n"/>
      <c r="L12" s="14" t="n"/>
      <c r="M12" s="11" t="n"/>
      <c r="N12" s="14" t="n"/>
      <c r="O12" s="15">
        <f>IF(COUNT(I12:L12)+COUNT(M12:N12)=0,"",IFERROR(I12*J12*K12*L12,0)+IFERROR(M12*4.3*N12,0))</f>
        <v/>
      </c>
      <c r="P12" s="15">
        <f>IF(O12="","",O12*6)</f>
        <v/>
      </c>
      <c r="Q12" s="16">
        <f>IF(P12="","",IF(R12="&lt;10k","Todavía no",IF(P12&lt;1500,"Todavía no",IF(P12&lt;3500,"Nivel 1","Nivel 2 o 3"))))</f>
        <v/>
      </c>
      <c r="R12" s="11" t="n"/>
      <c r="S12" s="11" t="n"/>
      <c r="T12" s="12" t="n"/>
      <c r="U12" s="11" t="n"/>
      <c r="V12" s="17" t="n"/>
    </row>
    <row r="13">
      <c r="A13" s="11" t="n"/>
      <c r="B13" s="11" t="n"/>
      <c r="C13" s="11" t="n"/>
      <c r="D13" s="11" t="n"/>
      <c r="E13" s="12" t="n"/>
      <c r="F13" s="12" t="n"/>
      <c r="G13" s="12" t="n"/>
      <c r="H13" s="11" t="n"/>
      <c r="I13" s="11" t="n"/>
      <c r="J13" s="13" t="n"/>
      <c r="K13" s="13" t="n"/>
      <c r="L13" s="14" t="n"/>
      <c r="M13" s="11" t="n"/>
      <c r="N13" s="14" t="n"/>
      <c r="O13" s="15">
        <f>IF(COUNT(I13:L13)+COUNT(M13:N13)=0,"",IFERROR(I13*J13*K13*L13,0)+IFERROR(M13*4.3*N13,0))</f>
        <v/>
      </c>
      <c r="P13" s="15">
        <f>IF(O13="","",O13*6)</f>
        <v/>
      </c>
      <c r="Q13" s="16">
        <f>IF(P13="","",IF(R13="&lt;10k","Todavía no",IF(P13&lt;1500,"Todavía no",IF(P13&lt;3500,"Nivel 1","Nivel 2 o 3"))))</f>
        <v/>
      </c>
      <c r="R13" s="11" t="n"/>
      <c r="S13" s="11" t="n"/>
      <c r="T13" s="12" t="n"/>
      <c r="U13" s="11" t="n"/>
      <c r="V13" s="17" t="n"/>
    </row>
    <row r="14">
      <c r="A14" s="11" t="n"/>
      <c r="B14" s="11" t="n"/>
      <c r="C14" s="11" t="n"/>
      <c r="D14" s="11" t="n"/>
      <c r="E14" s="12" t="n"/>
      <c r="F14" s="12" t="n"/>
      <c r="G14" s="12" t="n"/>
      <c r="H14" s="11" t="n"/>
      <c r="I14" s="11" t="n"/>
      <c r="J14" s="13" t="n"/>
      <c r="K14" s="13" t="n"/>
      <c r="L14" s="14" t="n"/>
      <c r="M14" s="11" t="n"/>
      <c r="N14" s="14" t="n"/>
      <c r="O14" s="15">
        <f>IF(COUNT(I14:L14)+COUNT(M14:N14)=0,"",IFERROR(I14*J14*K14*L14,0)+IFERROR(M14*4.3*N14,0))</f>
        <v/>
      </c>
      <c r="P14" s="15">
        <f>IF(O14="","",O14*6)</f>
        <v/>
      </c>
      <c r="Q14" s="16">
        <f>IF(P14="","",IF(R14="&lt;10k","Todavía no",IF(P14&lt;1500,"Todavía no",IF(P14&lt;3500,"Nivel 1","Nivel 2 o 3"))))</f>
        <v/>
      </c>
      <c r="R14" s="11" t="n"/>
      <c r="S14" s="11" t="n"/>
      <c r="T14" s="12" t="n"/>
      <c r="U14" s="11" t="n"/>
      <c r="V14" s="17" t="n"/>
    </row>
    <row r="15">
      <c r="A15" s="11" t="n"/>
      <c r="B15" s="11" t="n"/>
      <c r="C15" s="11" t="n"/>
      <c r="D15" s="11" t="n"/>
      <c r="E15" s="12" t="n"/>
      <c r="F15" s="12" t="n"/>
      <c r="G15" s="12" t="n"/>
      <c r="H15" s="11" t="n"/>
      <c r="I15" s="11" t="n"/>
      <c r="J15" s="13" t="n"/>
      <c r="K15" s="13" t="n"/>
      <c r="L15" s="14" t="n"/>
      <c r="M15" s="11" t="n"/>
      <c r="N15" s="14" t="n"/>
      <c r="O15" s="15">
        <f>IF(COUNT(I15:L15)+COUNT(M15:N15)=0,"",IFERROR(I15*J15*K15*L15,0)+IFERROR(M15*4.3*N15,0))</f>
        <v/>
      </c>
      <c r="P15" s="15">
        <f>IF(O15="","",O15*6)</f>
        <v/>
      </c>
      <c r="Q15" s="16">
        <f>IF(P15="","",IF(R15="&lt;10k","Todavía no",IF(P15&lt;1500,"Todavía no",IF(P15&lt;3500,"Nivel 1","Nivel 2 o 3"))))</f>
        <v/>
      </c>
      <c r="R15" s="11" t="n"/>
      <c r="S15" s="11" t="n"/>
      <c r="T15" s="12" t="n"/>
      <c r="U15" s="11" t="n"/>
      <c r="V15" s="17" t="n"/>
    </row>
    <row r="16">
      <c r="A16" s="11" t="n"/>
      <c r="B16" s="11" t="n"/>
      <c r="C16" s="11" t="n"/>
      <c r="D16" s="11" t="n"/>
      <c r="E16" s="12" t="n"/>
      <c r="F16" s="12" t="n"/>
      <c r="G16" s="12" t="n"/>
      <c r="H16" s="11" t="n"/>
      <c r="I16" s="11" t="n"/>
      <c r="J16" s="13" t="n"/>
      <c r="K16" s="13" t="n"/>
      <c r="L16" s="14" t="n"/>
      <c r="M16" s="11" t="n"/>
      <c r="N16" s="14" t="n"/>
      <c r="O16" s="15">
        <f>IF(COUNT(I16:L16)+COUNT(M16:N16)=0,"",IFERROR(I16*J16*K16*L16,0)+IFERROR(M16*4.3*N16,0))</f>
        <v/>
      </c>
      <c r="P16" s="15">
        <f>IF(O16="","",O16*6)</f>
        <v/>
      </c>
      <c r="Q16" s="16">
        <f>IF(P16="","",IF(R16="&lt;10k","Todavía no",IF(P16&lt;1500,"Todavía no",IF(P16&lt;3500,"Nivel 1","Nivel 2 o 3"))))</f>
        <v/>
      </c>
      <c r="R16" s="11" t="n"/>
      <c r="S16" s="11" t="n"/>
      <c r="T16" s="12" t="n"/>
      <c r="U16" s="11" t="n"/>
      <c r="V16" s="17" t="n"/>
    </row>
    <row r="17">
      <c r="A17" s="11" t="n"/>
      <c r="B17" s="11" t="n"/>
      <c r="C17" s="11" t="n"/>
      <c r="D17" s="11" t="n"/>
      <c r="E17" s="12" t="n"/>
      <c r="F17" s="12" t="n"/>
      <c r="G17" s="12" t="n"/>
      <c r="H17" s="11" t="n"/>
      <c r="I17" s="11" t="n"/>
      <c r="J17" s="13" t="n"/>
      <c r="K17" s="13" t="n"/>
      <c r="L17" s="14" t="n"/>
      <c r="M17" s="11" t="n"/>
      <c r="N17" s="14" t="n"/>
      <c r="O17" s="15">
        <f>IF(COUNT(I17:L17)+COUNT(M17:N17)=0,"",IFERROR(I17*J17*K17*L17,0)+IFERROR(M17*4.3*N17,0))</f>
        <v/>
      </c>
      <c r="P17" s="15">
        <f>IF(O17="","",O17*6)</f>
        <v/>
      </c>
      <c r="Q17" s="16">
        <f>IF(P17="","",IF(R17="&lt;10k","Todavía no",IF(P17&lt;1500,"Todavía no",IF(P17&lt;3500,"Nivel 1","Nivel 2 o 3"))))</f>
        <v/>
      </c>
      <c r="R17" s="11" t="n"/>
      <c r="S17" s="11" t="n"/>
      <c r="T17" s="12" t="n"/>
      <c r="U17" s="11" t="n"/>
      <c r="V17" s="17" t="n"/>
    </row>
    <row r="18">
      <c r="A18" s="11" t="n"/>
      <c r="B18" s="11" t="n"/>
      <c r="C18" s="11" t="n"/>
      <c r="D18" s="11" t="n"/>
      <c r="E18" s="12" t="n"/>
      <c r="F18" s="12" t="n"/>
      <c r="G18" s="12" t="n"/>
      <c r="H18" s="11" t="n"/>
      <c r="I18" s="11" t="n"/>
      <c r="J18" s="13" t="n"/>
      <c r="K18" s="13" t="n"/>
      <c r="L18" s="14" t="n"/>
      <c r="M18" s="11" t="n"/>
      <c r="N18" s="14" t="n"/>
      <c r="O18" s="15">
        <f>IF(COUNT(I18:L18)+COUNT(M18:N18)=0,"",IFERROR(I18*J18*K18*L18,0)+IFERROR(M18*4.3*N18,0))</f>
        <v/>
      </c>
      <c r="P18" s="15">
        <f>IF(O18="","",O18*6)</f>
        <v/>
      </c>
      <c r="Q18" s="16">
        <f>IF(P18="","",IF(R18="&lt;10k","Todavía no",IF(P18&lt;1500,"Todavía no",IF(P18&lt;3500,"Nivel 1","Nivel 2 o 3"))))</f>
        <v/>
      </c>
      <c r="R18" s="11" t="n"/>
      <c r="S18" s="11" t="n"/>
      <c r="T18" s="12" t="n"/>
      <c r="U18" s="11" t="n"/>
      <c r="V18" s="17" t="n"/>
    </row>
    <row r="19">
      <c r="A19" s="11" t="n"/>
      <c r="B19" s="11" t="n"/>
      <c r="C19" s="11" t="n"/>
      <c r="D19" s="11" t="n"/>
      <c r="E19" s="12" t="n"/>
      <c r="F19" s="12" t="n"/>
      <c r="G19" s="12" t="n"/>
      <c r="H19" s="11" t="n"/>
      <c r="I19" s="11" t="n"/>
      <c r="J19" s="13" t="n"/>
      <c r="K19" s="13" t="n"/>
      <c r="L19" s="14" t="n"/>
      <c r="M19" s="11" t="n"/>
      <c r="N19" s="14" t="n"/>
      <c r="O19" s="15">
        <f>IF(COUNT(I19:L19)+COUNT(M19:N19)=0,"",IFERROR(I19*J19*K19*L19,0)+IFERROR(M19*4.3*N19,0))</f>
        <v/>
      </c>
      <c r="P19" s="15">
        <f>IF(O19="","",O19*6)</f>
        <v/>
      </c>
      <c r="Q19" s="16">
        <f>IF(P19="","",IF(R19="&lt;10k","Todavía no",IF(P19&lt;1500,"Todavía no",IF(P19&lt;3500,"Nivel 1","Nivel 2 o 3"))))</f>
        <v/>
      </c>
      <c r="R19" s="11" t="n"/>
      <c r="S19" s="11" t="n"/>
      <c r="T19" s="12" t="n"/>
      <c r="U19" s="11" t="n"/>
      <c r="V19" s="17" t="n"/>
    </row>
    <row r="20">
      <c r="A20" s="11" t="n"/>
      <c r="B20" s="11" t="n"/>
      <c r="C20" s="11" t="n"/>
      <c r="D20" s="11" t="n"/>
      <c r="E20" s="12" t="n"/>
      <c r="F20" s="12" t="n"/>
      <c r="G20" s="12" t="n"/>
      <c r="H20" s="11" t="n"/>
      <c r="I20" s="11" t="n"/>
      <c r="J20" s="13" t="n"/>
      <c r="K20" s="13" t="n"/>
      <c r="L20" s="14" t="n"/>
      <c r="M20" s="11" t="n"/>
      <c r="N20" s="14" t="n"/>
      <c r="O20" s="15">
        <f>IF(COUNT(I20:L20)+COUNT(M20:N20)=0,"",IFERROR(I20*J20*K20*L20,0)+IFERROR(M20*4.3*N20,0))</f>
        <v/>
      </c>
      <c r="P20" s="15">
        <f>IF(O20="","",O20*6)</f>
        <v/>
      </c>
      <c r="Q20" s="16">
        <f>IF(P20="","",IF(R20="&lt;10k","Todavía no",IF(P20&lt;1500,"Todavía no",IF(P20&lt;3500,"Nivel 1","Nivel 2 o 3"))))</f>
        <v/>
      </c>
      <c r="R20" s="11" t="n"/>
      <c r="S20" s="11" t="n"/>
      <c r="T20" s="12" t="n"/>
      <c r="U20" s="11" t="n"/>
      <c r="V20" s="17" t="n"/>
    </row>
    <row r="21">
      <c r="A21" s="11" t="n"/>
      <c r="B21" s="11" t="n"/>
      <c r="C21" s="11" t="n"/>
      <c r="D21" s="11" t="n"/>
      <c r="E21" s="12" t="n"/>
      <c r="F21" s="12" t="n"/>
      <c r="G21" s="12" t="n"/>
      <c r="H21" s="11" t="n"/>
      <c r="I21" s="11" t="n"/>
      <c r="J21" s="13" t="n"/>
      <c r="K21" s="13" t="n"/>
      <c r="L21" s="14" t="n"/>
      <c r="M21" s="11" t="n"/>
      <c r="N21" s="14" t="n"/>
      <c r="O21" s="15">
        <f>IF(COUNT(I21:L21)+COUNT(M21:N21)=0,"",IFERROR(I21*J21*K21*L21,0)+IFERROR(M21*4.3*N21,0))</f>
        <v/>
      </c>
      <c r="P21" s="15">
        <f>IF(O21="","",O21*6)</f>
        <v/>
      </c>
      <c r="Q21" s="16">
        <f>IF(P21="","",IF(R21="&lt;10k","Todavía no",IF(P21&lt;1500,"Todavía no",IF(P21&lt;3500,"Nivel 1","Nivel 2 o 3"))))</f>
        <v/>
      </c>
      <c r="R21" s="11" t="n"/>
      <c r="S21" s="11" t="n"/>
      <c r="T21" s="12" t="n"/>
      <c r="U21" s="11" t="n"/>
      <c r="V21" s="17" t="n"/>
    </row>
    <row r="22">
      <c r="A22" s="11" t="n"/>
      <c r="B22" s="11" t="n"/>
      <c r="C22" s="11" t="n"/>
      <c r="D22" s="11" t="n"/>
      <c r="E22" s="12" t="n"/>
      <c r="F22" s="12" t="n"/>
      <c r="G22" s="12" t="n"/>
      <c r="H22" s="11" t="n"/>
      <c r="I22" s="11" t="n"/>
      <c r="J22" s="13" t="n"/>
      <c r="K22" s="13" t="n"/>
      <c r="L22" s="14" t="n"/>
      <c r="M22" s="11" t="n"/>
      <c r="N22" s="14" t="n"/>
      <c r="O22" s="15">
        <f>IF(COUNT(I22:L22)+COUNT(M22:N22)=0,"",IFERROR(I22*J22*K22*L22,0)+IFERROR(M22*4.3*N22,0))</f>
        <v/>
      </c>
      <c r="P22" s="15">
        <f>IF(O22="","",O22*6)</f>
        <v/>
      </c>
      <c r="Q22" s="16">
        <f>IF(P22="","",IF(R22="&lt;10k","Todavía no",IF(P22&lt;1500,"Todavía no",IF(P22&lt;3500,"Nivel 1","Nivel 2 o 3"))))</f>
        <v/>
      </c>
      <c r="R22" s="11" t="n"/>
      <c r="S22" s="11" t="n"/>
      <c r="T22" s="12" t="n"/>
      <c r="U22" s="11" t="n"/>
      <c r="V22" s="17" t="n"/>
    </row>
    <row r="23">
      <c r="A23" s="11" t="n"/>
      <c r="B23" s="11" t="n"/>
      <c r="C23" s="11" t="n"/>
      <c r="D23" s="11" t="n"/>
      <c r="E23" s="12" t="n"/>
      <c r="F23" s="12" t="n"/>
      <c r="G23" s="12" t="n"/>
      <c r="H23" s="11" t="n"/>
      <c r="I23" s="11" t="n"/>
      <c r="J23" s="13" t="n"/>
      <c r="K23" s="13" t="n"/>
      <c r="L23" s="14" t="n"/>
      <c r="M23" s="11" t="n"/>
      <c r="N23" s="14" t="n"/>
      <c r="O23" s="15">
        <f>IF(COUNT(I23:L23)+COUNT(M23:N23)=0,"",IFERROR(I23*J23*K23*L23,0)+IFERROR(M23*4.3*N23,0))</f>
        <v/>
      </c>
      <c r="P23" s="15">
        <f>IF(O23="","",O23*6)</f>
        <v/>
      </c>
      <c r="Q23" s="16">
        <f>IF(P23="","",IF(R23="&lt;10k","Todavía no",IF(P23&lt;1500,"Todavía no",IF(P23&lt;3500,"Nivel 1","Nivel 2 o 3"))))</f>
        <v/>
      </c>
      <c r="R23" s="11" t="n"/>
      <c r="S23" s="11" t="n"/>
      <c r="T23" s="12" t="n"/>
      <c r="U23" s="11" t="n"/>
      <c r="V23" s="17" t="n"/>
    </row>
    <row r="24">
      <c r="A24" s="11" t="n"/>
      <c r="B24" s="11" t="n"/>
      <c r="C24" s="11" t="n"/>
      <c r="D24" s="11" t="n"/>
      <c r="E24" s="12" t="n"/>
      <c r="F24" s="12" t="n"/>
      <c r="G24" s="12" t="n"/>
      <c r="H24" s="11" t="n"/>
      <c r="I24" s="11" t="n"/>
      <c r="J24" s="13" t="n"/>
      <c r="K24" s="13" t="n"/>
      <c r="L24" s="14" t="n"/>
      <c r="M24" s="11" t="n"/>
      <c r="N24" s="14" t="n"/>
      <c r="O24" s="15">
        <f>IF(COUNT(I24:L24)+COUNT(M24:N24)=0,"",IFERROR(I24*J24*K24*L24,0)+IFERROR(M24*4.3*N24,0))</f>
        <v/>
      </c>
      <c r="P24" s="15">
        <f>IF(O24="","",O24*6)</f>
        <v/>
      </c>
      <c r="Q24" s="16">
        <f>IF(P24="","",IF(R24="&lt;10k","Todavía no",IF(P24&lt;1500,"Todavía no",IF(P24&lt;3500,"Nivel 1","Nivel 2 o 3"))))</f>
        <v/>
      </c>
      <c r="R24" s="11" t="n"/>
      <c r="S24" s="11" t="n"/>
      <c r="T24" s="12" t="n"/>
      <c r="U24" s="11" t="n"/>
      <c r="V24" s="17" t="n"/>
    </row>
    <row r="25">
      <c r="A25" s="11" t="n"/>
      <c r="B25" s="11" t="n"/>
      <c r="C25" s="11" t="n"/>
      <c r="D25" s="11" t="n"/>
      <c r="E25" s="12" t="n"/>
      <c r="F25" s="12" t="n"/>
      <c r="G25" s="12" t="n"/>
      <c r="H25" s="11" t="n"/>
      <c r="I25" s="11" t="n"/>
      <c r="J25" s="13" t="n"/>
      <c r="K25" s="13" t="n"/>
      <c r="L25" s="14" t="n"/>
      <c r="M25" s="11" t="n"/>
      <c r="N25" s="14" t="n"/>
      <c r="O25" s="15">
        <f>IF(COUNT(I25:L25)+COUNT(M25:N25)=0,"",IFERROR(I25*J25*K25*L25,0)+IFERROR(M25*4.3*N25,0))</f>
        <v/>
      </c>
      <c r="P25" s="15">
        <f>IF(O25="","",O25*6)</f>
        <v/>
      </c>
      <c r="Q25" s="16">
        <f>IF(P25="","",IF(R25="&lt;10k","Todavía no",IF(P25&lt;1500,"Todavía no",IF(P25&lt;3500,"Nivel 1","Nivel 2 o 3"))))</f>
        <v/>
      </c>
      <c r="R25" s="11" t="n"/>
      <c r="S25" s="11" t="n"/>
      <c r="T25" s="12" t="n"/>
      <c r="U25" s="11" t="n"/>
      <c r="V25" s="17" t="n"/>
    </row>
    <row r="26">
      <c r="A26" s="11" t="n"/>
      <c r="B26" s="11" t="n"/>
      <c r="C26" s="11" t="n"/>
      <c r="D26" s="11" t="n"/>
      <c r="E26" s="12" t="n"/>
      <c r="F26" s="12" t="n"/>
      <c r="G26" s="12" t="n"/>
      <c r="H26" s="11" t="n"/>
      <c r="I26" s="11" t="n"/>
      <c r="J26" s="13" t="n"/>
      <c r="K26" s="13" t="n"/>
      <c r="L26" s="14" t="n"/>
      <c r="M26" s="11" t="n"/>
      <c r="N26" s="14" t="n"/>
      <c r="O26" s="15">
        <f>IF(COUNT(I26:L26)+COUNT(M26:N26)=0,"",IFERROR(I26*J26*K26*L26,0)+IFERROR(M26*4.3*N26,0))</f>
        <v/>
      </c>
      <c r="P26" s="15">
        <f>IF(O26="","",O26*6)</f>
        <v/>
      </c>
      <c r="Q26" s="16">
        <f>IF(P26="","",IF(R26="&lt;10k","Todavía no",IF(P26&lt;1500,"Todavía no",IF(P26&lt;3500,"Nivel 1","Nivel 2 o 3"))))</f>
        <v/>
      </c>
      <c r="R26" s="11" t="n"/>
      <c r="S26" s="11" t="n"/>
      <c r="T26" s="12" t="n"/>
      <c r="U26" s="11" t="n"/>
      <c r="V26" s="17" t="n"/>
    </row>
    <row r="27">
      <c r="A27" s="11" t="n"/>
      <c r="B27" s="11" t="n"/>
      <c r="C27" s="11" t="n"/>
      <c r="D27" s="11" t="n"/>
      <c r="E27" s="12" t="n"/>
      <c r="F27" s="12" t="n"/>
      <c r="G27" s="12" t="n"/>
      <c r="H27" s="11" t="n"/>
      <c r="I27" s="11" t="n"/>
      <c r="J27" s="13" t="n"/>
      <c r="K27" s="13" t="n"/>
      <c r="L27" s="14" t="n"/>
      <c r="M27" s="11" t="n"/>
      <c r="N27" s="14" t="n"/>
      <c r="O27" s="15">
        <f>IF(COUNT(I27:L27)+COUNT(M27:N27)=0,"",IFERROR(I27*J27*K27*L27,0)+IFERROR(M27*4.3*N27,0))</f>
        <v/>
      </c>
      <c r="P27" s="15">
        <f>IF(O27="","",O27*6)</f>
        <v/>
      </c>
      <c r="Q27" s="16">
        <f>IF(P27="","",IF(R27="&lt;10k","Todavía no",IF(P27&lt;1500,"Todavía no",IF(P27&lt;3500,"Nivel 1","Nivel 2 o 3"))))</f>
        <v/>
      </c>
      <c r="R27" s="11" t="n"/>
      <c r="S27" s="11" t="n"/>
      <c r="T27" s="12" t="n"/>
      <c r="U27" s="11" t="n"/>
      <c r="V27" s="17" t="n"/>
    </row>
    <row r="28">
      <c r="A28" s="11" t="n"/>
      <c r="B28" s="11" t="n"/>
      <c r="C28" s="11" t="n"/>
      <c r="D28" s="11" t="n"/>
      <c r="E28" s="12" t="n"/>
      <c r="F28" s="12" t="n"/>
      <c r="G28" s="12" t="n"/>
      <c r="H28" s="11" t="n"/>
      <c r="I28" s="11" t="n"/>
      <c r="J28" s="13" t="n"/>
      <c r="K28" s="13" t="n"/>
      <c r="L28" s="14" t="n"/>
      <c r="M28" s="11" t="n"/>
      <c r="N28" s="14" t="n"/>
      <c r="O28" s="15">
        <f>IF(COUNT(I28:L28)+COUNT(M28:N28)=0,"",IFERROR(I28*J28*K28*L28,0)+IFERROR(M28*4.3*N28,0))</f>
        <v/>
      </c>
      <c r="P28" s="15">
        <f>IF(O28="","",O28*6)</f>
        <v/>
      </c>
      <c r="Q28" s="16">
        <f>IF(P28="","",IF(R28="&lt;10k","Todavía no",IF(P28&lt;1500,"Todavía no",IF(P28&lt;3500,"Nivel 1","Nivel 2 o 3"))))</f>
        <v/>
      </c>
      <c r="R28" s="11" t="n"/>
      <c r="S28" s="11" t="n"/>
      <c r="T28" s="12" t="n"/>
      <c r="U28" s="11" t="n"/>
      <c r="V28" s="17" t="n"/>
    </row>
    <row r="29">
      <c r="A29" s="11" t="n"/>
      <c r="B29" s="11" t="n"/>
      <c r="C29" s="11" t="n"/>
      <c r="D29" s="11" t="n"/>
      <c r="E29" s="12" t="n"/>
      <c r="F29" s="12" t="n"/>
      <c r="G29" s="12" t="n"/>
      <c r="H29" s="11" t="n"/>
      <c r="I29" s="11" t="n"/>
      <c r="J29" s="13" t="n"/>
      <c r="K29" s="13" t="n"/>
      <c r="L29" s="14" t="n"/>
      <c r="M29" s="11" t="n"/>
      <c r="N29" s="14" t="n"/>
      <c r="O29" s="15">
        <f>IF(COUNT(I29:L29)+COUNT(M29:N29)=0,"",IFERROR(I29*J29*K29*L29,0)+IFERROR(M29*4.3*N29,0))</f>
        <v/>
      </c>
      <c r="P29" s="15">
        <f>IF(O29="","",O29*6)</f>
        <v/>
      </c>
      <c r="Q29" s="16">
        <f>IF(P29="","",IF(R29="&lt;10k","Todavía no",IF(P29&lt;1500,"Todavía no",IF(P29&lt;3500,"Nivel 1","Nivel 2 o 3"))))</f>
        <v/>
      </c>
      <c r="R29" s="11" t="n"/>
      <c r="S29" s="11" t="n"/>
      <c r="T29" s="12" t="n"/>
      <c r="U29" s="11" t="n"/>
      <c r="V29" s="17" t="n"/>
    </row>
    <row r="30">
      <c r="A30" s="11" t="n"/>
      <c r="B30" s="11" t="n"/>
      <c r="C30" s="11" t="n"/>
      <c r="D30" s="11" t="n"/>
      <c r="E30" s="12" t="n"/>
      <c r="F30" s="12" t="n"/>
      <c r="G30" s="12" t="n"/>
      <c r="H30" s="11" t="n"/>
      <c r="I30" s="11" t="n"/>
      <c r="J30" s="13" t="n"/>
      <c r="K30" s="13" t="n"/>
      <c r="L30" s="14" t="n"/>
      <c r="M30" s="11" t="n"/>
      <c r="N30" s="14" t="n"/>
      <c r="O30" s="15">
        <f>IF(COUNT(I30:L30)+COUNT(M30:N30)=0,"",IFERROR(I30*J30*K30*L30,0)+IFERROR(M30*4.3*N30,0))</f>
        <v/>
      </c>
      <c r="P30" s="15">
        <f>IF(O30="","",O30*6)</f>
        <v/>
      </c>
      <c r="Q30" s="16">
        <f>IF(P30="","",IF(R30="&lt;10k","Todavía no",IF(P30&lt;1500,"Todavía no",IF(P30&lt;3500,"Nivel 1","Nivel 2 o 3"))))</f>
        <v/>
      </c>
      <c r="R30" s="11" t="n"/>
      <c r="S30" s="11" t="n"/>
      <c r="T30" s="12" t="n"/>
      <c r="U30" s="11" t="n"/>
      <c r="V30" s="17" t="n"/>
    </row>
    <row r="31">
      <c r="A31" s="11" t="n"/>
      <c r="B31" s="11" t="n"/>
      <c r="C31" s="11" t="n"/>
      <c r="D31" s="11" t="n"/>
      <c r="E31" s="12" t="n"/>
      <c r="F31" s="12" t="n"/>
      <c r="G31" s="12" t="n"/>
      <c r="H31" s="11" t="n"/>
      <c r="I31" s="11" t="n"/>
      <c r="J31" s="13" t="n"/>
      <c r="K31" s="13" t="n"/>
      <c r="L31" s="14" t="n"/>
      <c r="M31" s="11" t="n"/>
      <c r="N31" s="14" t="n"/>
      <c r="O31" s="15">
        <f>IF(COUNT(I31:L31)+COUNT(M31:N31)=0,"",IFERROR(I31*J31*K31*L31,0)+IFERROR(M31*4.3*N31,0))</f>
        <v/>
      </c>
      <c r="P31" s="15">
        <f>IF(O31="","",O31*6)</f>
        <v/>
      </c>
      <c r="Q31" s="16">
        <f>IF(P31="","",IF(R31="&lt;10k","Todavía no",IF(P31&lt;1500,"Todavía no",IF(P31&lt;3500,"Nivel 1","Nivel 2 o 3"))))</f>
        <v/>
      </c>
      <c r="R31" s="11" t="n"/>
      <c r="S31" s="11" t="n"/>
      <c r="T31" s="12" t="n"/>
      <c r="U31" s="11" t="n"/>
      <c r="V31" s="17" t="n"/>
    </row>
    <row r="32">
      <c r="A32" s="11" t="n"/>
      <c r="B32" s="11" t="n"/>
      <c r="C32" s="11" t="n"/>
      <c r="D32" s="11" t="n"/>
      <c r="E32" s="12" t="n"/>
      <c r="F32" s="12" t="n"/>
      <c r="G32" s="12" t="n"/>
      <c r="H32" s="11" t="n"/>
      <c r="I32" s="11" t="n"/>
      <c r="J32" s="13" t="n"/>
      <c r="K32" s="13" t="n"/>
      <c r="L32" s="14" t="n"/>
      <c r="M32" s="11" t="n"/>
      <c r="N32" s="14" t="n"/>
      <c r="O32" s="15">
        <f>IF(COUNT(I32:L32)+COUNT(M32:N32)=0,"",IFERROR(I32*J32*K32*L32,0)+IFERROR(M32*4.3*N32,0))</f>
        <v/>
      </c>
      <c r="P32" s="15">
        <f>IF(O32="","",O32*6)</f>
        <v/>
      </c>
      <c r="Q32" s="16">
        <f>IF(P32="","",IF(R32="&lt;10k","Todavía no",IF(P32&lt;1500,"Todavía no",IF(P32&lt;3500,"Nivel 1","Nivel 2 o 3"))))</f>
        <v/>
      </c>
      <c r="R32" s="11" t="n"/>
      <c r="S32" s="11" t="n"/>
      <c r="T32" s="12" t="n"/>
      <c r="U32" s="11" t="n"/>
      <c r="V32" s="17" t="n"/>
    </row>
    <row r="33">
      <c r="A33" s="11" t="n"/>
      <c r="B33" s="11" t="n"/>
      <c r="C33" s="11" t="n"/>
      <c r="D33" s="11" t="n"/>
      <c r="E33" s="12" t="n"/>
      <c r="F33" s="12" t="n"/>
      <c r="G33" s="12" t="n"/>
      <c r="H33" s="11" t="n"/>
      <c r="I33" s="11" t="n"/>
      <c r="J33" s="13" t="n"/>
      <c r="K33" s="13" t="n"/>
      <c r="L33" s="14" t="n"/>
      <c r="M33" s="11" t="n"/>
      <c r="N33" s="14" t="n"/>
      <c r="O33" s="15">
        <f>IF(COUNT(I33:L33)+COUNT(M33:N33)=0,"",IFERROR(I33*J33*K33*L33,0)+IFERROR(M33*4.3*N33,0))</f>
        <v/>
      </c>
      <c r="P33" s="15">
        <f>IF(O33="","",O33*6)</f>
        <v/>
      </c>
      <c r="Q33" s="16">
        <f>IF(P33="","",IF(R33="&lt;10k","Todavía no",IF(P33&lt;1500,"Todavía no",IF(P33&lt;3500,"Nivel 1","Nivel 2 o 3"))))</f>
        <v/>
      </c>
      <c r="R33" s="11" t="n"/>
      <c r="S33" s="11" t="n"/>
      <c r="T33" s="12" t="n"/>
      <c r="U33" s="11" t="n"/>
      <c r="V33" s="17" t="n"/>
    </row>
    <row r="34">
      <c r="A34" s="11" t="n"/>
      <c r="B34" s="11" t="n"/>
      <c r="C34" s="11" t="n"/>
      <c r="D34" s="11" t="n"/>
      <c r="E34" s="12" t="n"/>
      <c r="F34" s="12" t="n"/>
      <c r="G34" s="12" t="n"/>
      <c r="H34" s="11" t="n"/>
      <c r="I34" s="11" t="n"/>
      <c r="J34" s="13" t="n"/>
      <c r="K34" s="13" t="n"/>
      <c r="L34" s="14" t="n"/>
      <c r="M34" s="11" t="n"/>
      <c r="N34" s="14" t="n"/>
      <c r="O34" s="15">
        <f>IF(COUNT(I34:L34)+COUNT(M34:N34)=0,"",IFERROR(I34*J34*K34*L34,0)+IFERROR(M34*4.3*N34,0))</f>
        <v/>
      </c>
      <c r="P34" s="15">
        <f>IF(O34="","",O34*6)</f>
        <v/>
      </c>
      <c r="Q34" s="16">
        <f>IF(P34="","",IF(R34="&lt;10k","Todavía no",IF(P34&lt;1500,"Todavía no",IF(P34&lt;3500,"Nivel 1","Nivel 2 o 3"))))</f>
        <v/>
      </c>
      <c r="R34" s="11" t="n"/>
      <c r="S34" s="11" t="n"/>
      <c r="T34" s="12" t="n"/>
      <c r="U34" s="11" t="n"/>
      <c r="V34" s="17" t="n"/>
    </row>
    <row r="35">
      <c r="A35" s="11" t="n"/>
      <c r="B35" s="11" t="n"/>
      <c r="C35" s="11" t="n"/>
      <c r="D35" s="11" t="n"/>
      <c r="E35" s="12" t="n"/>
      <c r="F35" s="12" t="n"/>
      <c r="G35" s="12" t="n"/>
      <c r="H35" s="11" t="n"/>
      <c r="I35" s="11" t="n"/>
      <c r="J35" s="13" t="n"/>
      <c r="K35" s="13" t="n"/>
      <c r="L35" s="14" t="n"/>
      <c r="M35" s="11" t="n"/>
      <c r="N35" s="14" t="n"/>
      <c r="O35" s="15">
        <f>IF(COUNT(I35:L35)+COUNT(M35:N35)=0,"",IFERROR(I35*J35*K35*L35,0)+IFERROR(M35*4.3*N35,0))</f>
        <v/>
      </c>
      <c r="P35" s="15">
        <f>IF(O35="","",O35*6)</f>
        <v/>
      </c>
      <c r="Q35" s="16">
        <f>IF(P35="","",IF(R35="&lt;10k","Todavía no",IF(P35&lt;1500,"Todavía no",IF(P35&lt;3500,"Nivel 1","Nivel 2 o 3"))))</f>
        <v/>
      </c>
      <c r="R35" s="11" t="n"/>
      <c r="S35" s="11" t="n"/>
      <c r="T35" s="12" t="n"/>
      <c r="U35" s="11" t="n"/>
      <c r="V35" s="17" t="n"/>
    </row>
    <row r="36">
      <c r="A36" s="11" t="n"/>
      <c r="B36" s="11" t="n"/>
      <c r="C36" s="11" t="n"/>
      <c r="D36" s="11" t="n"/>
      <c r="E36" s="12" t="n"/>
      <c r="F36" s="12" t="n"/>
      <c r="G36" s="12" t="n"/>
      <c r="H36" s="11" t="n"/>
      <c r="I36" s="11" t="n"/>
      <c r="J36" s="13" t="n"/>
      <c r="K36" s="13" t="n"/>
      <c r="L36" s="14" t="n"/>
      <c r="M36" s="11" t="n"/>
      <c r="N36" s="14" t="n"/>
      <c r="O36" s="15">
        <f>IF(COUNT(I36:L36)+COUNT(M36:N36)=0,"",IFERROR(I36*J36*K36*L36,0)+IFERROR(M36*4.3*N36,0))</f>
        <v/>
      </c>
      <c r="P36" s="15">
        <f>IF(O36="","",O36*6)</f>
        <v/>
      </c>
      <c r="Q36" s="16">
        <f>IF(P36="","",IF(R36="&lt;10k","Todavía no",IF(P36&lt;1500,"Todavía no",IF(P36&lt;3500,"Nivel 1","Nivel 2 o 3"))))</f>
        <v/>
      </c>
      <c r="R36" s="11" t="n"/>
      <c r="S36" s="11" t="n"/>
      <c r="T36" s="12" t="n"/>
      <c r="U36" s="11" t="n"/>
      <c r="V36" s="17" t="n"/>
    </row>
    <row r="37">
      <c r="A37" s="11" t="n"/>
      <c r="B37" s="11" t="n"/>
      <c r="C37" s="11" t="n"/>
      <c r="D37" s="11" t="n"/>
      <c r="E37" s="12" t="n"/>
      <c r="F37" s="12" t="n"/>
      <c r="G37" s="12" t="n"/>
      <c r="H37" s="11" t="n"/>
      <c r="I37" s="11" t="n"/>
      <c r="J37" s="13" t="n"/>
      <c r="K37" s="13" t="n"/>
      <c r="L37" s="14" t="n"/>
      <c r="M37" s="11" t="n"/>
      <c r="N37" s="14" t="n"/>
      <c r="O37" s="15">
        <f>IF(COUNT(I37:L37)+COUNT(M37:N37)=0,"",IFERROR(I37*J37*K37*L37,0)+IFERROR(M37*4.3*N37,0))</f>
        <v/>
      </c>
      <c r="P37" s="15">
        <f>IF(O37="","",O37*6)</f>
        <v/>
      </c>
      <c r="Q37" s="16">
        <f>IF(P37="","",IF(R37="&lt;10k","Todavía no",IF(P37&lt;1500,"Todavía no",IF(P37&lt;3500,"Nivel 1","Nivel 2 o 3"))))</f>
        <v/>
      </c>
      <c r="R37" s="11" t="n"/>
      <c r="S37" s="11" t="n"/>
      <c r="T37" s="12" t="n"/>
      <c r="U37" s="11" t="n"/>
      <c r="V37" s="17" t="n"/>
    </row>
    <row r="38">
      <c r="A38" s="11" t="n"/>
      <c r="B38" s="11" t="n"/>
      <c r="C38" s="11" t="n"/>
      <c r="D38" s="11" t="n"/>
      <c r="E38" s="12" t="n"/>
      <c r="F38" s="12" t="n"/>
      <c r="G38" s="12" t="n"/>
      <c r="H38" s="11" t="n"/>
      <c r="I38" s="11" t="n"/>
      <c r="J38" s="13" t="n"/>
      <c r="K38" s="13" t="n"/>
      <c r="L38" s="14" t="n"/>
      <c r="M38" s="11" t="n"/>
      <c r="N38" s="14" t="n"/>
      <c r="O38" s="15">
        <f>IF(COUNT(I38:L38)+COUNT(M38:N38)=0,"",IFERROR(I38*J38*K38*L38,0)+IFERROR(M38*4.3*N38,0))</f>
        <v/>
      </c>
      <c r="P38" s="15">
        <f>IF(O38="","",O38*6)</f>
        <v/>
      </c>
      <c r="Q38" s="16">
        <f>IF(P38="","",IF(R38="&lt;10k","Todavía no",IF(P38&lt;1500,"Todavía no",IF(P38&lt;3500,"Nivel 1","Nivel 2 o 3"))))</f>
        <v/>
      </c>
      <c r="R38" s="11" t="n"/>
      <c r="S38" s="11" t="n"/>
      <c r="T38" s="12" t="n"/>
      <c r="U38" s="11" t="n"/>
      <c r="V38" s="17" t="n"/>
    </row>
    <row r="39">
      <c r="A39" s="11" t="n"/>
      <c r="B39" s="11" t="n"/>
      <c r="C39" s="11" t="n"/>
      <c r="D39" s="11" t="n"/>
      <c r="E39" s="12" t="n"/>
      <c r="F39" s="12" t="n"/>
      <c r="G39" s="12" t="n"/>
      <c r="H39" s="11" t="n"/>
      <c r="I39" s="11" t="n"/>
      <c r="J39" s="13" t="n"/>
      <c r="K39" s="13" t="n"/>
      <c r="L39" s="14" t="n"/>
      <c r="M39" s="11" t="n"/>
      <c r="N39" s="14" t="n"/>
      <c r="O39" s="15">
        <f>IF(COUNT(I39:L39)+COUNT(M39:N39)=0,"",IFERROR(I39*J39*K39*L39,0)+IFERROR(M39*4.3*N39,0))</f>
        <v/>
      </c>
      <c r="P39" s="15">
        <f>IF(O39="","",O39*6)</f>
        <v/>
      </c>
      <c r="Q39" s="16">
        <f>IF(P39="","",IF(R39="&lt;10k","Todavía no",IF(P39&lt;1500,"Todavía no",IF(P39&lt;3500,"Nivel 1","Nivel 2 o 3"))))</f>
        <v/>
      </c>
      <c r="R39" s="11" t="n"/>
      <c r="S39" s="11" t="n"/>
      <c r="T39" s="12" t="n"/>
      <c r="U39" s="11" t="n"/>
      <c r="V39" s="17" t="n"/>
    </row>
    <row r="40">
      <c r="A40" s="11" t="n"/>
      <c r="B40" s="11" t="n"/>
      <c r="C40" s="11" t="n"/>
      <c r="D40" s="11" t="n"/>
      <c r="E40" s="12" t="n"/>
      <c r="F40" s="12" t="n"/>
      <c r="G40" s="12" t="n"/>
      <c r="H40" s="11" t="n"/>
      <c r="I40" s="11" t="n"/>
      <c r="J40" s="13" t="n"/>
      <c r="K40" s="13" t="n"/>
      <c r="L40" s="14" t="n"/>
      <c r="M40" s="11" t="n"/>
      <c r="N40" s="14" t="n"/>
      <c r="O40" s="15">
        <f>IF(COUNT(I40:L40)+COUNT(M40:N40)=0,"",IFERROR(I40*J40*K40*L40,0)+IFERROR(M40*4.3*N40,0))</f>
        <v/>
      </c>
      <c r="P40" s="15">
        <f>IF(O40="","",O40*6)</f>
        <v/>
      </c>
      <c r="Q40" s="16">
        <f>IF(P40="","",IF(R40="&lt;10k","Todavía no",IF(P40&lt;1500,"Todavía no",IF(P40&lt;3500,"Nivel 1","Nivel 2 o 3"))))</f>
        <v/>
      </c>
      <c r="R40" s="11" t="n"/>
      <c r="S40" s="11" t="n"/>
      <c r="T40" s="12" t="n"/>
      <c r="U40" s="11" t="n"/>
      <c r="V40" s="17" t="n"/>
    </row>
    <row r="41">
      <c r="A41" s="11" t="n"/>
      <c r="B41" s="11" t="n"/>
      <c r="C41" s="11" t="n"/>
      <c r="D41" s="11" t="n"/>
      <c r="E41" s="12" t="n"/>
      <c r="F41" s="12" t="n"/>
      <c r="G41" s="12" t="n"/>
      <c r="H41" s="11" t="n"/>
      <c r="I41" s="11" t="n"/>
      <c r="J41" s="13" t="n"/>
      <c r="K41" s="13" t="n"/>
      <c r="L41" s="14" t="n"/>
      <c r="M41" s="11" t="n"/>
      <c r="N41" s="14" t="n"/>
      <c r="O41" s="15">
        <f>IF(COUNT(I41:L41)+COUNT(M41:N41)=0,"",IFERROR(I41*J41*K41*L41,0)+IFERROR(M41*4.3*N41,0))</f>
        <v/>
      </c>
      <c r="P41" s="15">
        <f>IF(O41="","",O41*6)</f>
        <v/>
      </c>
      <c r="Q41" s="16">
        <f>IF(P41="","",IF(R41="&lt;10k","Todavía no",IF(P41&lt;1500,"Todavía no",IF(P41&lt;3500,"Nivel 1","Nivel 2 o 3"))))</f>
        <v/>
      </c>
      <c r="R41" s="11" t="n"/>
      <c r="S41" s="11" t="n"/>
      <c r="T41" s="12" t="n"/>
      <c r="U41" s="11" t="n"/>
      <c r="V41" s="17" t="n"/>
    </row>
    <row r="42">
      <c r="A42" s="11" t="n"/>
      <c r="B42" s="11" t="n"/>
      <c r="C42" s="11" t="n"/>
      <c r="D42" s="11" t="n"/>
      <c r="E42" s="12" t="n"/>
      <c r="F42" s="12" t="n"/>
      <c r="G42" s="12" t="n"/>
      <c r="H42" s="11" t="n"/>
      <c r="I42" s="11" t="n"/>
      <c r="J42" s="13" t="n"/>
      <c r="K42" s="13" t="n"/>
      <c r="L42" s="14" t="n"/>
      <c r="M42" s="11" t="n"/>
      <c r="N42" s="14" t="n"/>
      <c r="O42" s="15">
        <f>IF(COUNT(I42:L42)+COUNT(M42:N42)=0,"",IFERROR(I42*J42*K42*L42,0)+IFERROR(M42*4.3*N42,0))</f>
        <v/>
      </c>
      <c r="P42" s="15">
        <f>IF(O42="","",O42*6)</f>
        <v/>
      </c>
      <c r="Q42" s="16">
        <f>IF(P42="","",IF(R42="&lt;10k","Todavía no",IF(P42&lt;1500,"Todavía no",IF(P42&lt;3500,"Nivel 1","Nivel 2 o 3"))))</f>
        <v/>
      </c>
      <c r="R42" s="11" t="n"/>
      <c r="S42" s="11" t="n"/>
      <c r="T42" s="12" t="n"/>
      <c r="U42" s="11" t="n"/>
      <c r="V42" s="17" t="n"/>
    </row>
    <row r="43">
      <c r="A43" s="11" t="n"/>
      <c r="B43" s="11" t="n"/>
      <c r="C43" s="11" t="n"/>
      <c r="D43" s="11" t="n"/>
      <c r="E43" s="12" t="n"/>
      <c r="F43" s="12" t="n"/>
      <c r="G43" s="12" t="n"/>
      <c r="H43" s="11" t="n"/>
      <c r="I43" s="11" t="n"/>
      <c r="J43" s="13" t="n"/>
      <c r="K43" s="13" t="n"/>
      <c r="L43" s="14" t="n"/>
      <c r="M43" s="11" t="n"/>
      <c r="N43" s="14" t="n"/>
      <c r="O43" s="15">
        <f>IF(COUNT(I43:L43)+COUNT(M43:N43)=0,"",IFERROR(I43*J43*K43*L43,0)+IFERROR(M43*4.3*N43,0))</f>
        <v/>
      </c>
      <c r="P43" s="15">
        <f>IF(O43="","",O43*6)</f>
        <v/>
      </c>
      <c r="Q43" s="16">
        <f>IF(P43="","",IF(R43="&lt;10k","Todavía no",IF(P43&lt;1500,"Todavía no",IF(P43&lt;3500,"Nivel 1","Nivel 2 o 3"))))</f>
        <v/>
      </c>
      <c r="R43" s="11" t="n"/>
      <c r="S43" s="11" t="n"/>
      <c r="T43" s="12" t="n"/>
      <c r="U43" s="11" t="n"/>
      <c r="V43" s="17" t="n"/>
    </row>
    <row r="44">
      <c r="A44" s="11" t="n"/>
      <c r="B44" s="11" t="n"/>
      <c r="C44" s="11" t="n"/>
      <c r="D44" s="11" t="n"/>
      <c r="E44" s="12" t="n"/>
      <c r="F44" s="12" t="n"/>
      <c r="G44" s="12" t="n"/>
      <c r="H44" s="11" t="n"/>
      <c r="I44" s="11" t="n"/>
      <c r="J44" s="13" t="n"/>
      <c r="K44" s="13" t="n"/>
      <c r="L44" s="14" t="n"/>
      <c r="M44" s="11" t="n"/>
      <c r="N44" s="14" t="n"/>
      <c r="O44" s="15">
        <f>IF(COUNT(I44:L44)+COUNT(M44:N44)=0,"",IFERROR(I44*J44*K44*L44,0)+IFERROR(M44*4.3*N44,0))</f>
        <v/>
      </c>
      <c r="P44" s="15">
        <f>IF(O44="","",O44*6)</f>
        <v/>
      </c>
      <c r="Q44" s="16">
        <f>IF(P44="","",IF(R44="&lt;10k","Todavía no",IF(P44&lt;1500,"Todavía no",IF(P44&lt;3500,"Nivel 1","Nivel 2 o 3"))))</f>
        <v/>
      </c>
      <c r="R44" s="11" t="n"/>
      <c r="S44" s="11" t="n"/>
      <c r="T44" s="12" t="n"/>
      <c r="U44" s="11" t="n"/>
      <c r="V44" s="17" t="n"/>
    </row>
    <row r="45">
      <c r="A45" s="11" t="n"/>
      <c r="B45" s="11" t="n"/>
      <c r="C45" s="11" t="n"/>
      <c r="D45" s="11" t="n"/>
      <c r="E45" s="12" t="n"/>
      <c r="F45" s="12" t="n"/>
      <c r="G45" s="12" t="n"/>
      <c r="H45" s="11" t="n"/>
      <c r="I45" s="11" t="n"/>
      <c r="J45" s="13" t="n"/>
      <c r="K45" s="13" t="n"/>
      <c r="L45" s="14" t="n"/>
      <c r="M45" s="11" t="n"/>
      <c r="N45" s="14" t="n"/>
      <c r="O45" s="15">
        <f>IF(COUNT(I45:L45)+COUNT(M45:N45)=0,"",IFERROR(I45*J45*K45*L45,0)+IFERROR(M45*4.3*N45,0))</f>
        <v/>
      </c>
      <c r="P45" s="15">
        <f>IF(O45="","",O45*6)</f>
        <v/>
      </c>
      <c r="Q45" s="16">
        <f>IF(P45="","",IF(R45="&lt;10k","Todavía no",IF(P45&lt;1500,"Todavía no",IF(P45&lt;3500,"Nivel 1","Nivel 2 o 3"))))</f>
        <v/>
      </c>
      <c r="R45" s="11" t="n"/>
      <c r="S45" s="11" t="n"/>
      <c r="T45" s="12" t="n"/>
      <c r="U45" s="11" t="n"/>
      <c r="V45" s="17" t="n"/>
    </row>
    <row r="46">
      <c r="A46" s="11" t="n"/>
      <c r="B46" s="11" t="n"/>
      <c r="C46" s="11" t="n"/>
      <c r="D46" s="11" t="n"/>
      <c r="E46" s="12" t="n"/>
      <c r="F46" s="12" t="n"/>
      <c r="G46" s="12" t="n"/>
      <c r="H46" s="11" t="n"/>
      <c r="I46" s="11" t="n"/>
      <c r="J46" s="13" t="n"/>
      <c r="K46" s="13" t="n"/>
      <c r="L46" s="14" t="n"/>
      <c r="M46" s="11" t="n"/>
      <c r="N46" s="14" t="n"/>
      <c r="O46" s="15">
        <f>IF(COUNT(I46:L46)+COUNT(M46:N46)=0,"",IFERROR(I46*J46*K46*L46,0)+IFERROR(M46*4.3*N46,0))</f>
        <v/>
      </c>
      <c r="P46" s="15">
        <f>IF(O46="","",O46*6)</f>
        <v/>
      </c>
      <c r="Q46" s="16">
        <f>IF(P46="","",IF(R46="&lt;10k","Todavía no",IF(P46&lt;1500,"Todavía no",IF(P46&lt;3500,"Nivel 1","Nivel 2 o 3"))))</f>
        <v/>
      </c>
      <c r="R46" s="11" t="n"/>
      <c r="S46" s="11" t="n"/>
      <c r="T46" s="12" t="n"/>
      <c r="U46" s="11" t="n"/>
      <c r="V46" s="17" t="n"/>
    </row>
    <row r="47">
      <c r="A47" s="11" t="n"/>
      <c r="B47" s="11" t="n"/>
      <c r="C47" s="11" t="n"/>
      <c r="D47" s="11" t="n"/>
      <c r="E47" s="12" t="n"/>
      <c r="F47" s="12" t="n"/>
      <c r="G47" s="12" t="n"/>
      <c r="H47" s="11" t="n"/>
      <c r="I47" s="11" t="n"/>
      <c r="J47" s="13" t="n"/>
      <c r="K47" s="13" t="n"/>
      <c r="L47" s="14" t="n"/>
      <c r="M47" s="11" t="n"/>
      <c r="N47" s="14" t="n"/>
      <c r="O47" s="15">
        <f>IF(COUNT(I47:L47)+COUNT(M47:N47)=0,"",IFERROR(I47*J47*K47*L47,0)+IFERROR(M47*4.3*N47,0))</f>
        <v/>
      </c>
      <c r="P47" s="15">
        <f>IF(O47="","",O47*6)</f>
        <v/>
      </c>
      <c r="Q47" s="16">
        <f>IF(P47="","",IF(R47="&lt;10k","Todavía no",IF(P47&lt;1500,"Todavía no",IF(P47&lt;3500,"Nivel 1","Nivel 2 o 3"))))</f>
        <v/>
      </c>
      <c r="R47" s="11" t="n"/>
      <c r="S47" s="11" t="n"/>
      <c r="T47" s="12" t="n"/>
      <c r="U47" s="11" t="n"/>
      <c r="V47" s="17" t="n"/>
    </row>
    <row r="48">
      <c r="A48" s="11" t="n"/>
      <c r="B48" s="11" t="n"/>
      <c r="C48" s="11" t="n"/>
      <c r="D48" s="11" t="n"/>
      <c r="E48" s="12" t="n"/>
      <c r="F48" s="12" t="n"/>
      <c r="G48" s="12" t="n"/>
      <c r="H48" s="11" t="n"/>
      <c r="I48" s="11" t="n"/>
      <c r="J48" s="13" t="n"/>
      <c r="K48" s="13" t="n"/>
      <c r="L48" s="14" t="n"/>
      <c r="M48" s="11" t="n"/>
      <c r="N48" s="14" t="n"/>
      <c r="O48" s="15">
        <f>IF(COUNT(I48:L48)+COUNT(M48:N48)=0,"",IFERROR(I48*J48*K48*L48,0)+IFERROR(M48*4.3*N48,0))</f>
        <v/>
      </c>
      <c r="P48" s="15">
        <f>IF(O48="","",O48*6)</f>
        <v/>
      </c>
      <c r="Q48" s="16">
        <f>IF(P48="","",IF(R48="&lt;10k","Todavía no",IF(P48&lt;1500,"Todavía no",IF(P48&lt;3500,"Nivel 1","Nivel 2 o 3"))))</f>
        <v/>
      </c>
      <c r="R48" s="11" t="n"/>
      <c r="S48" s="11" t="n"/>
      <c r="T48" s="12" t="n"/>
      <c r="U48" s="11" t="n"/>
      <c r="V48" s="17" t="n"/>
    </row>
    <row r="49">
      <c r="A49" s="11" t="n"/>
      <c r="B49" s="11" t="n"/>
      <c r="C49" s="11" t="n"/>
      <c r="D49" s="11" t="n"/>
      <c r="E49" s="12" t="n"/>
      <c r="F49" s="12" t="n"/>
      <c r="G49" s="12" t="n"/>
      <c r="H49" s="11" t="n"/>
      <c r="I49" s="11" t="n"/>
      <c r="J49" s="13" t="n"/>
      <c r="K49" s="13" t="n"/>
      <c r="L49" s="14" t="n"/>
      <c r="M49" s="11" t="n"/>
      <c r="N49" s="14" t="n"/>
      <c r="O49" s="15">
        <f>IF(COUNT(I49:L49)+COUNT(M49:N49)=0,"",IFERROR(I49*J49*K49*L49,0)+IFERROR(M49*4.3*N49,0))</f>
        <v/>
      </c>
      <c r="P49" s="15">
        <f>IF(O49="","",O49*6)</f>
        <v/>
      </c>
      <c r="Q49" s="16">
        <f>IF(P49="","",IF(R49="&lt;10k","Todavía no",IF(P49&lt;1500,"Todavía no",IF(P49&lt;3500,"Nivel 1","Nivel 2 o 3"))))</f>
        <v/>
      </c>
      <c r="R49" s="11" t="n"/>
      <c r="S49" s="11" t="n"/>
      <c r="T49" s="12" t="n"/>
      <c r="U49" s="11" t="n"/>
      <c r="V49" s="17" t="n"/>
    </row>
    <row r="50">
      <c r="A50" s="11" t="n"/>
      <c r="B50" s="11" t="n"/>
      <c r="C50" s="11" t="n"/>
      <c r="D50" s="11" t="n"/>
      <c r="E50" s="12" t="n"/>
      <c r="F50" s="12" t="n"/>
      <c r="G50" s="12" t="n"/>
      <c r="H50" s="11" t="n"/>
      <c r="I50" s="11" t="n"/>
      <c r="J50" s="13" t="n"/>
      <c r="K50" s="13" t="n"/>
      <c r="L50" s="14" t="n"/>
      <c r="M50" s="11" t="n"/>
      <c r="N50" s="14" t="n"/>
      <c r="O50" s="15">
        <f>IF(COUNT(I50:L50)+COUNT(M50:N50)=0,"",IFERROR(I50*J50*K50*L50,0)+IFERROR(M50*4.3*N50,0))</f>
        <v/>
      </c>
      <c r="P50" s="15">
        <f>IF(O50="","",O50*6)</f>
        <v/>
      </c>
      <c r="Q50" s="16">
        <f>IF(P50="","",IF(R50="&lt;10k","Todavía no",IF(P50&lt;1500,"Todavía no",IF(P50&lt;3500,"Nivel 1","Nivel 2 o 3"))))</f>
        <v/>
      </c>
      <c r="R50" s="11" t="n"/>
      <c r="S50" s="11" t="n"/>
      <c r="T50" s="12" t="n"/>
      <c r="U50" s="11" t="n"/>
      <c r="V50" s="17" t="n"/>
    </row>
    <row r="51">
      <c r="A51" s="11" t="n"/>
      <c r="B51" s="11" t="n"/>
      <c r="C51" s="11" t="n"/>
      <c r="D51" s="11" t="n"/>
      <c r="E51" s="12" t="n"/>
      <c r="F51" s="12" t="n"/>
      <c r="G51" s="12" t="n"/>
      <c r="H51" s="11" t="n"/>
      <c r="I51" s="11" t="n"/>
      <c r="J51" s="13" t="n"/>
      <c r="K51" s="13" t="n"/>
      <c r="L51" s="14" t="n"/>
      <c r="M51" s="11" t="n"/>
      <c r="N51" s="14" t="n"/>
      <c r="O51" s="15">
        <f>IF(COUNT(I51:L51)+COUNT(M51:N51)=0,"",IFERROR(I51*J51*K51*L51,0)+IFERROR(M51*4.3*N51,0))</f>
        <v/>
      </c>
      <c r="P51" s="15">
        <f>IF(O51="","",O51*6)</f>
        <v/>
      </c>
      <c r="Q51" s="16">
        <f>IF(P51="","",IF(R51="&lt;10k","Todavía no",IF(P51&lt;1500,"Todavía no",IF(P51&lt;3500,"Nivel 1","Nivel 2 o 3"))))</f>
        <v/>
      </c>
      <c r="R51" s="11" t="n"/>
      <c r="S51" s="11" t="n"/>
      <c r="T51" s="12" t="n"/>
      <c r="U51" s="11" t="n"/>
      <c r="V51" s="17" t="n"/>
    </row>
    <row r="52">
      <c r="A52" s="11" t="n"/>
      <c r="B52" s="11" t="n"/>
      <c r="C52" s="11" t="n"/>
      <c r="D52" s="11" t="n"/>
      <c r="E52" s="12" t="n"/>
      <c r="F52" s="12" t="n"/>
      <c r="G52" s="12" t="n"/>
      <c r="H52" s="11" t="n"/>
      <c r="I52" s="11" t="n"/>
      <c r="J52" s="13" t="n"/>
      <c r="K52" s="13" t="n"/>
      <c r="L52" s="14" t="n"/>
      <c r="M52" s="11" t="n"/>
      <c r="N52" s="14" t="n"/>
      <c r="O52" s="15">
        <f>IF(COUNT(I52:L52)+COUNT(M52:N52)=0,"",IFERROR(I52*J52*K52*L52,0)+IFERROR(M52*4.3*N52,0))</f>
        <v/>
      </c>
      <c r="P52" s="15">
        <f>IF(O52="","",O52*6)</f>
        <v/>
      </c>
      <c r="Q52" s="16">
        <f>IF(P52="","",IF(R52="&lt;10k","Todavía no",IF(P52&lt;1500,"Todavía no",IF(P52&lt;3500,"Nivel 1","Nivel 2 o 3"))))</f>
        <v/>
      </c>
      <c r="R52" s="11" t="n"/>
      <c r="S52" s="11" t="n"/>
      <c r="T52" s="12" t="n"/>
      <c r="U52" s="11" t="n"/>
      <c r="V52" s="17" t="n"/>
    </row>
    <row r="53">
      <c r="A53" s="11" t="n"/>
      <c r="B53" s="11" t="n"/>
      <c r="C53" s="11" t="n"/>
      <c r="D53" s="11" t="n"/>
      <c r="E53" s="12" t="n"/>
      <c r="F53" s="12" t="n"/>
      <c r="G53" s="12" t="n"/>
      <c r="H53" s="11" t="n"/>
      <c r="I53" s="11" t="n"/>
      <c r="J53" s="13" t="n"/>
      <c r="K53" s="13" t="n"/>
      <c r="L53" s="14" t="n"/>
      <c r="M53" s="11" t="n"/>
      <c r="N53" s="14" t="n"/>
      <c r="O53" s="15">
        <f>IF(COUNT(I53:L53)+COUNT(M53:N53)=0,"",IFERROR(I53*J53*K53*L53,0)+IFERROR(M53*4.3*N53,0))</f>
        <v/>
      </c>
      <c r="P53" s="15">
        <f>IF(O53="","",O53*6)</f>
        <v/>
      </c>
      <c r="Q53" s="16">
        <f>IF(P53="","",IF(R53="&lt;10k","Todavía no",IF(P53&lt;1500,"Todavía no",IF(P53&lt;3500,"Nivel 1","Nivel 2 o 3"))))</f>
        <v/>
      </c>
      <c r="R53" s="11" t="n"/>
      <c r="S53" s="11" t="n"/>
      <c r="T53" s="12" t="n"/>
      <c r="U53" s="11" t="n"/>
      <c r="V53" s="17" t="n"/>
    </row>
    <row r="54">
      <c r="A54" s="11" t="n"/>
      <c r="B54" s="11" t="n"/>
      <c r="C54" s="11" t="n"/>
      <c r="D54" s="11" t="n"/>
      <c r="E54" s="12" t="n"/>
      <c r="F54" s="12" t="n"/>
      <c r="G54" s="12" t="n"/>
      <c r="H54" s="11" t="n"/>
      <c r="I54" s="11" t="n"/>
      <c r="J54" s="13" t="n"/>
      <c r="K54" s="13" t="n"/>
      <c r="L54" s="14" t="n"/>
      <c r="M54" s="11" t="n"/>
      <c r="N54" s="14" t="n"/>
      <c r="O54" s="15">
        <f>IF(COUNT(I54:L54)+COUNT(M54:N54)=0,"",IFERROR(I54*J54*K54*L54,0)+IFERROR(M54*4.3*N54,0))</f>
        <v/>
      </c>
      <c r="P54" s="15">
        <f>IF(O54="","",O54*6)</f>
        <v/>
      </c>
      <c r="Q54" s="16">
        <f>IF(P54="","",IF(R54="&lt;10k","Todavía no",IF(P54&lt;1500,"Todavía no",IF(P54&lt;3500,"Nivel 1","Nivel 2 o 3"))))</f>
        <v/>
      </c>
      <c r="R54" s="11" t="n"/>
      <c r="S54" s="11" t="n"/>
      <c r="T54" s="12" t="n"/>
      <c r="U54" s="11" t="n"/>
      <c r="V54" s="17" t="n"/>
    </row>
    <row r="55">
      <c r="A55" s="11" t="n"/>
      <c r="B55" s="11" t="n"/>
      <c r="C55" s="11" t="n"/>
      <c r="D55" s="11" t="n"/>
      <c r="E55" s="12" t="n"/>
      <c r="F55" s="12" t="n"/>
      <c r="G55" s="12" t="n"/>
      <c r="H55" s="11" t="n"/>
      <c r="I55" s="11" t="n"/>
      <c r="J55" s="13" t="n"/>
      <c r="K55" s="13" t="n"/>
      <c r="L55" s="14" t="n"/>
      <c r="M55" s="11" t="n"/>
      <c r="N55" s="14" t="n"/>
      <c r="O55" s="15">
        <f>IF(COUNT(I55:L55)+COUNT(M55:N55)=0,"",IFERROR(I55*J55*K55*L55,0)+IFERROR(M55*4.3*N55,0))</f>
        <v/>
      </c>
      <c r="P55" s="15">
        <f>IF(O55="","",O55*6)</f>
        <v/>
      </c>
      <c r="Q55" s="16">
        <f>IF(P55="","",IF(R55="&lt;10k","Todavía no",IF(P55&lt;1500,"Todavía no",IF(P55&lt;3500,"Nivel 1","Nivel 2 o 3"))))</f>
        <v/>
      </c>
      <c r="R55" s="11" t="n"/>
      <c r="S55" s="11" t="n"/>
      <c r="T55" s="12" t="n"/>
      <c r="U55" s="11" t="n"/>
      <c r="V55" s="17" t="n"/>
    </row>
    <row r="56">
      <c r="A56" s="11" t="n"/>
      <c r="B56" s="11" t="n"/>
      <c r="C56" s="11" t="n"/>
      <c r="D56" s="11" t="n"/>
      <c r="E56" s="12" t="n"/>
      <c r="F56" s="12" t="n"/>
      <c r="G56" s="12" t="n"/>
      <c r="H56" s="11" t="n"/>
      <c r="I56" s="11" t="n"/>
      <c r="J56" s="13" t="n"/>
      <c r="K56" s="13" t="n"/>
      <c r="L56" s="14" t="n"/>
      <c r="M56" s="11" t="n"/>
      <c r="N56" s="14" t="n"/>
      <c r="O56" s="15">
        <f>IF(COUNT(I56:L56)+COUNT(M56:N56)=0,"",IFERROR(I56*J56*K56*L56,0)+IFERROR(M56*4.3*N56,0))</f>
        <v/>
      </c>
      <c r="P56" s="15">
        <f>IF(O56="","",O56*6)</f>
        <v/>
      </c>
      <c r="Q56" s="16">
        <f>IF(P56="","",IF(R56="&lt;10k","Todavía no",IF(P56&lt;1500,"Todavía no",IF(P56&lt;3500,"Nivel 1","Nivel 2 o 3"))))</f>
        <v/>
      </c>
      <c r="R56" s="11" t="n"/>
      <c r="S56" s="11" t="n"/>
      <c r="T56" s="12" t="n"/>
      <c r="U56" s="11" t="n"/>
      <c r="V56" s="17" t="n"/>
    </row>
    <row r="57">
      <c r="A57" s="11" t="n"/>
      <c r="B57" s="11" t="n"/>
      <c r="C57" s="11" t="n"/>
      <c r="D57" s="11" t="n"/>
      <c r="E57" s="12" t="n"/>
      <c r="F57" s="12" t="n"/>
      <c r="G57" s="12" t="n"/>
      <c r="H57" s="11" t="n"/>
      <c r="I57" s="11" t="n"/>
      <c r="J57" s="13" t="n"/>
      <c r="K57" s="13" t="n"/>
      <c r="L57" s="14" t="n"/>
      <c r="M57" s="11" t="n"/>
      <c r="N57" s="14" t="n"/>
      <c r="O57" s="15">
        <f>IF(COUNT(I57:L57)+COUNT(M57:N57)=0,"",IFERROR(I57*J57*K57*L57,0)+IFERROR(M57*4.3*N57,0))</f>
        <v/>
      </c>
      <c r="P57" s="15">
        <f>IF(O57="","",O57*6)</f>
        <v/>
      </c>
      <c r="Q57" s="16">
        <f>IF(P57="","",IF(R57="&lt;10k","Todavía no",IF(P57&lt;1500,"Todavía no",IF(P57&lt;3500,"Nivel 1","Nivel 2 o 3"))))</f>
        <v/>
      </c>
      <c r="R57" s="11" t="n"/>
      <c r="S57" s="11" t="n"/>
      <c r="T57" s="12" t="n"/>
      <c r="U57" s="11" t="n"/>
      <c r="V57" s="17" t="n"/>
    </row>
    <row r="58">
      <c r="A58" s="11" t="n"/>
      <c r="B58" s="11" t="n"/>
      <c r="C58" s="11" t="n"/>
      <c r="D58" s="11" t="n"/>
      <c r="E58" s="12" t="n"/>
      <c r="F58" s="12" t="n"/>
      <c r="G58" s="12" t="n"/>
      <c r="H58" s="11" t="n"/>
      <c r="I58" s="11" t="n"/>
      <c r="J58" s="13" t="n"/>
      <c r="K58" s="13" t="n"/>
      <c r="L58" s="14" t="n"/>
      <c r="M58" s="11" t="n"/>
      <c r="N58" s="14" t="n"/>
      <c r="O58" s="15">
        <f>IF(COUNT(I58:L58)+COUNT(M58:N58)=0,"",IFERROR(I58*J58*K58*L58,0)+IFERROR(M58*4.3*N58,0))</f>
        <v/>
      </c>
      <c r="P58" s="15">
        <f>IF(O58="","",O58*6)</f>
        <v/>
      </c>
      <c r="Q58" s="16">
        <f>IF(P58="","",IF(R58="&lt;10k","Todavía no",IF(P58&lt;1500,"Todavía no",IF(P58&lt;3500,"Nivel 1","Nivel 2 o 3"))))</f>
        <v/>
      </c>
      <c r="R58" s="11" t="n"/>
      <c r="S58" s="11" t="n"/>
      <c r="T58" s="12" t="n"/>
      <c r="U58" s="11" t="n"/>
      <c r="V58" s="17" t="n"/>
    </row>
    <row r="59">
      <c r="A59" s="11" t="n"/>
      <c r="B59" s="11" t="n"/>
      <c r="C59" s="11" t="n"/>
      <c r="D59" s="11" t="n"/>
      <c r="E59" s="12" t="n"/>
      <c r="F59" s="12" t="n"/>
      <c r="G59" s="12" t="n"/>
      <c r="H59" s="11" t="n"/>
      <c r="I59" s="11" t="n"/>
      <c r="J59" s="13" t="n"/>
      <c r="K59" s="13" t="n"/>
      <c r="L59" s="14" t="n"/>
      <c r="M59" s="11" t="n"/>
      <c r="N59" s="14" t="n"/>
      <c r="O59" s="15">
        <f>IF(COUNT(I59:L59)+COUNT(M59:N59)=0,"",IFERROR(I59*J59*K59*L59,0)+IFERROR(M59*4.3*N59,0))</f>
        <v/>
      </c>
      <c r="P59" s="15">
        <f>IF(O59="","",O59*6)</f>
        <v/>
      </c>
      <c r="Q59" s="16">
        <f>IF(P59="","",IF(R59="&lt;10k","Todavía no",IF(P59&lt;1500,"Todavía no",IF(P59&lt;3500,"Nivel 1","Nivel 2 o 3"))))</f>
        <v/>
      </c>
      <c r="R59" s="11" t="n"/>
      <c r="S59" s="11" t="n"/>
      <c r="T59" s="12" t="n"/>
      <c r="U59" s="11" t="n"/>
      <c r="V59" s="17" t="n"/>
    </row>
    <row r="60">
      <c r="A60" s="11" t="n"/>
      <c r="B60" s="11" t="n"/>
      <c r="C60" s="11" t="n"/>
      <c r="D60" s="11" t="n"/>
      <c r="E60" s="12" t="n"/>
      <c r="F60" s="12" t="n"/>
      <c r="G60" s="12" t="n"/>
      <c r="H60" s="11" t="n"/>
      <c r="I60" s="11" t="n"/>
      <c r="J60" s="13" t="n"/>
      <c r="K60" s="13" t="n"/>
      <c r="L60" s="14" t="n"/>
      <c r="M60" s="11" t="n"/>
      <c r="N60" s="14" t="n"/>
      <c r="O60" s="15">
        <f>IF(COUNT(I60:L60)+COUNT(M60:N60)=0,"",IFERROR(I60*J60*K60*L60,0)+IFERROR(M60*4.3*N60,0))</f>
        <v/>
      </c>
      <c r="P60" s="15">
        <f>IF(O60="","",O60*6)</f>
        <v/>
      </c>
      <c r="Q60" s="16">
        <f>IF(P60="","",IF(R60="&lt;10k","Todavía no",IF(P60&lt;1500,"Todavía no",IF(P60&lt;3500,"Nivel 1","Nivel 2 o 3"))))</f>
        <v/>
      </c>
      <c r="R60" s="11" t="n"/>
      <c r="S60" s="11" t="n"/>
      <c r="T60" s="12" t="n"/>
      <c r="U60" s="11" t="n"/>
      <c r="V60" s="17" t="n"/>
    </row>
    <row r="61">
      <c r="A61" s="11" t="n"/>
      <c r="B61" s="11" t="n"/>
      <c r="C61" s="11" t="n"/>
      <c r="D61" s="11" t="n"/>
      <c r="E61" s="12" t="n"/>
      <c r="F61" s="12" t="n"/>
      <c r="G61" s="12" t="n"/>
      <c r="H61" s="11" t="n"/>
      <c r="I61" s="11" t="n"/>
      <c r="J61" s="13" t="n"/>
      <c r="K61" s="13" t="n"/>
      <c r="L61" s="14" t="n"/>
      <c r="M61" s="11" t="n"/>
      <c r="N61" s="14" t="n"/>
      <c r="O61" s="15">
        <f>IF(COUNT(I61:L61)+COUNT(M61:N61)=0,"",IFERROR(I61*J61*K61*L61,0)+IFERROR(M61*4.3*N61,0))</f>
        <v/>
      </c>
      <c r="P61" s="15">
        <f>IF(O61="","",O61*6)</f>
        <v/>
      </c>
      <c r="Q61" s="16">
        <f>IF(P61="","",IF(R61="&lt;10k","Todavía no",IF(P61&lt;1500,"Todavía no",IF(P61&lt;3500,"Nivel 1","Nivel 2 o 3"))))</f>
        <v/>
      </c>
      <c r="R61" s="11" t="n"/>
      <c r="S61" s="11" t="n"/>
      <c r="T61" s="12" t="n"/>
      <c r="U61" s="11" t="n"/>
      <c r="V61" s="17" t="n"/>
    </row>
    <row r="62">
      <c r="A62" s="11" t="n"/>
      <c r="B62" s="11" t="n"/>
      <c r="C62" s="11" t="n"/>
      <c r="D62" s="11" t="n"/>
      <c r="E62" s="12" t="n"/>
      <c r="F62" s="12" t="n"/>
      <c r="G62" s="12" t="n"/>
      <c r="H62" s="11" t="n"/>
      <c r="I62" s="11" t="n"/>
      <c r="J62" s="13" t="n"/>
      <c r="K62" s="13" t="n"/>
      <c r="L62" s="14" t="n"/>
      <c r="M62" s="11" t="n"/>
      <c r="N62" s="14" t="n"/>
      <c r="O62" s="15">
        <f>IF(COUNT(I62:L62)+COUNT(M62:N62)=0,"",IFERROR(I62*J62*K62*L62,0)+IFERROR(M62*4.3*N62,0))</f>
        <v/>
      </c>
      <c r="P62" s="15">
        <f>IF(O62="","",O62*6)</f>
        <v/>
      </c>
      <c r="Q62" s="16">
        <f>IF(P62="","",IF(R62="&lt;10k","Todavía no",IF(P62&lt;1500,"Todavía no",IF(P62&lt;3500,"Nivel 1","Nivel 2 o 3"))))</f>
        <v/>
      </c>
      <c r="R62" s="11" t="n"/>
      <c r="S62" s="11" t="n"/>
      <c r="T62" s="12" t="n"/>
      <c r="U62" s="11" t="n"/>
      <c r="V62" s="17" t="n"/>
    </row>
    <row r="63">
      <c r="A63" s="11" t="n"/>
      <c r="B63" s="11" t="n"/>
      <c r="C63" s="11" t="n"/>
      <c r="D63" s="11" t="n"/>
      <c r="E63" s="12" t="n"/>
      <c r="F63" s="12" t="n"/>
      <c r="G63" s="12" t="n"/>
      <c r="H63" s="11" t="n"/>
      <c r="I63" s="11" t="n"/>
      <c r="J63" s="13" t="n"/>
      <c r="K63" s="13" t="n"/>
      <c r="L63" s="14" t="n"/>
      <c r="M63" s="11" t="n"/>
      <c r="N63" s="14" t="n"/>
      <c r="O63" s="15">
        <f>IF(COUNT(I63:L63)+COUNT(M63:N63)=0,"",IFERROR(I63*J63*K63*L63,0)+IFERROR(M63*4.3*N63,0))</f>
        <v/>
      </c>
      <c r="P63" s="15">
        <f>IF(O63="","",O63*6)</f>
        <v/>
      </c>
      <c r="Q63" s="16">
        <f>IF(P63="","",IF(R63="&lt;10k","Todavía no",IF(P63&lt;1500,"Todavía no",IF(P63&lt;3500,"Nivel 1","Nivel 2 o 3"))))</f>
        <v/>
      </c>
      <c r="R63" s="11" t="n"/>
      <c r="S63" s="11" t="n"/>
      <c r="T63" s="12" t="n"/>
      <c r="U63" s="11" t="n"/>
      <c r="V63" s="17" t="n"/>
    </row>
    <row r="64">
      <c r="A64" s="11" t="n"/>
      <c r="B64" s="11" t="n"/>
      <c r="C64" s="11" t="n"/>
      <c r="D64" s="11" t="n"/>
      <c r="E64" s="12" t="n"/>
      <c r="F64" s="12" t="n"/>
      <c r="G64" s="12" t="n"/>
      <c r="H64" s="11" t="n"/>
      <c r="I64" s="11" t="n"/>
      <c r="J64" s="13" t="n"/>
      <c r="K64" s="13" t="n"/>
      <c r="L64" s="14" t="n"/>
      <c r="M64" s="11" t="n"/>
      <c r="N64" s="14" t="n"/>
      <c r="O64" s="15">
        <f>IF(COUNT(I64:L64)+COUNT(M64:N64)=0,"",IFERROR(I64*J64*K64*L64,0)+IFERROR(M64*4.3*N64,0))</f>
        <v/>
      </c>
      <c r="P64" s="15">
        <f>IF(O64="","",O64*6)</f>
        <v/>
      </c>
      <c r="Q64" s="16">
        <f>IF(P64="","",IF(R64="&lt;10k","Todavía no",IF(P64&lt;1500,"Todavía no",IF(P64&lt;3500,"Nivel 1","Nivel 2 o 3"))))</f>
        <v/>
      </c>
      <c r="R64" s="11" t="n"/>
      <c r="S64" s="11" t="n"/>
      <c r="T64" s="12" t="n"/>
      <c r="U64" s="11" t="n"/>
      <c r="V64" s="17" t="n"/>
    </row>
    <row r="65">
      <c r="A65" s="11" t="n"/>
      <c r="B65" s="11" t="n"/>
      <c r="C65" s="11" t="n"/>
      <c r="D65" s="11" t="n"/>
      <c r="E65" s="12" t="n"/>
      <c r="F65" s="12" t="n"/>
      <c r="G65" s="12" t="n"/>
      <c r="H65" s="11" t="n"/>
      <c r="I65" s="11" t="n"/>
      <c r="J65" s="13" t="n"/>
      <c r="K65" s="13" t="n"/>
      <c r="L65" s="14" t="n"/>
      <c r="M65" s="11" t="n"/>
      <c r="N65" s="14" t="n"/>
      <c r="O65" s="15">
        <f>IF(COUNT(I65:L65)+COUNT(M65:N65)=0,"",IFERROR(I65*J65*K65*L65,0)+IFERROR(M65*4.3*N65,0))</f>
        <v/>
      </c>
      <c r="P65" s="15">
        <f>IF(O65="","",O65*6)</f>
        <v/>
      </c>
      <c r="Q65" s="16">
        <f>IF(P65="","",IF(R65="&lt;10k","Todavía no",IF(P65&lt;1500,"Todavía no",IF(P65&lt;3500,"Nivel 1","Nivel 2 o 3"))))</f>
        <v/>
      </c>
      <c r="R65" s="11" t="n"/>
      <c r="S65" s="11" t="n"/>
      <c r="T65" s="12" t="n"/>
      <c r="U65" s="11" t="n"/>
      <c r="V65" s="17" t="n"/>
    </row>
    <row r="66">
      <c r="A66" s="11" t="n"/>
      <c r="B66" s="11" t="n"/>
      <c r="C66" s="11" t="n"/>
      <c r="D66" s="11" t="n"/>
      <c r="E66" s="12" t="n"/>
      <c r="F66" s="12" t="n"/>
      <c r="G66" s="12" t="n"/>
      <c r="H66" s="11" t="n"/>
      <c r="I66" s="11" t="n"/>
      <c r="J66" s="13" t="n"/>
      <c r="K66" s="13" t="n"/>
      <c r="L66" s="14" t="n"/>
      <c r="M66" s="11" t="n"/>
      <c r="N66" s="14" t="n"/>
      <c r="O66" s="15">
        <f>IF(COUNT(I66:L66)+COUNT(M66:N66)=0,"",IFERROR(I66*J66*K66*L66,0)+IFERROR(M66*4.3*N66,0))</f>
        <v/>
      </c>
      <c r="P66" s="15">
        <f>IF(O66="","",O66*6)</f>
        <v/>
      </c>
      <c r="Q66" s="16">
        <f>IF(P66="","",IF(R66="&lt;10k","Todavía no",IF(P66&lt;1500,"Todavía no",IF(P66&lt;3500,"Nivel 1","Nivel 2 o 3"))))</f>
        <v/>
      </c>
      <c r="R66" s="11" t="n"/>
      <c r="S66" s="11" t="n"/>
      <c r="T66" s="12" t="n"/>
      <c r="U66" s="11" t="n"/>
      <c r="V66" s="17" t="n"/>
    </row>
    <row r="67">
      <c r="A67" s="11" t="n"/>
      <c r="B67" s="11" t="n"/>
      <c r="C67" s="11" t="n"/>
      <c r="D67" s="11" t="n"/>
      <c r="E67" s="12" t="n"/>
      <c r="F67" s="12" t="n"/>
      <c r="G67" s="12" t="n"/>
      <c r="H67" s="11" t="n"/>
      <c r="I67" s="11" t="n"/>
      <c r="J67" s="13" t="n"/>
      <c r="K67" s="13" t="n"/>
      <c r="L67" s="14" t="n"/>
      <c r="M67" s="11" t="n"/>
      <c r="N67" s="14" t="n"/>
      <c r="O67" s="15">
        <f>IF(COUNT(I67:L67)+COUNT(M67:N67)=0,"",IFERROR(I67*J67*K67*L67,0)+IFERROR(M67*4.3*N67,0))</f>
        <v/>
      </c>
      <c r="P67" s="15">
        <f>IF(O67="","",O67*6)</f>
        <v/>
      </c>
      <c r="Q67" s="16">
        <f>IF(P67="","",IF(R67="&lt;10k","Todavía no",IF(P67&lt;1500,"Todavía no",IF(P67&lt;3500,"Nivel 1","Nivel 2 o 3"))))</f>
        <v/>
      </c>
      <c r="R67" s="11" t="n"/>
      <c r="S67" s="11" t="n"/>
      <c r="T67" s="12" t="n"/>
      <c r="U67" s="11" t="n"/>
      <c r="V67" s="17" t="n"/>
    </row>
    <row r="68">
      <c r="A68" s="11" t="n"/>
      <c r="B68" s="11" t="n"/>
      <c r="C68" s="11" t="n"/>
      <c r="D68" s="11" t="n"/>
      <c r="E68" s="12" t="n"/>
      <c r="F68" s="12" t="n"/>
      <c r="G68" s="12" t="n"/>
      <c r="H68" s="11" t="n"/>
      <c r="I68" s="11" t="n"/>
      <c r="J68" s="13" t="n"/>
      <c r="K68" s="13" t="n"/>
      <c r="L68" s="14" t="n"/>
      <c r="M68" s="11" t="n"/>
      <c r="N68" s="14" t="n"/>
      <c r="O68" s="15">
        <f>IF(COUNT(I68:L68)+COUNT(M68:N68)=0,"",IFERROR(I68*J68*K68*L68,0)+IFERROR(M68*4.3*N68,0))</f>
        <v/>
      </c>
      <c r="P68" s="15">
        <f>IF(O68="","",O68*6)</f>
        <v/>
      </c>
      <c r="Q68" s="16">
        <f>IF(P68="","",IF(R68="&lt;10k","Todavía no",IF(P68&lt;1500,"Todavía no",IF(P68&lt;3500,"Nivel 1","Nivel 2 o 3"))))</f>
        <v/>
      </c>
      <c r="R68" s="11" t="n"/>
      <c r="S68" s="11" t="n"/>
      <c r="T68" s="12" t="n"/>
      <c r="U68" s="11" t="n"/>
      <c r="V68" s="17" t="n"/>
    </row>
    <row r="69">
      <c r="A69" s="11" t="n"/>
      <c r="B69" s="11" t="n"/>
      <c r="C69" s="11" t="n"/>
      <c r="D69" s="11" t="n"/>
      <c r="E69" s="12" t="n"/>
      <c r="F69" s="12" t="n"/>
      <c r="G69" s="12" t="n"/>
      <c r="H69" s="11" t="n"/>
      <c r="I69" s="11" t="n"/>
      <c r="J69" s="13" t="n"/>
      <c r="K69" s="13" t="n"/>
      <c r="L69" s="14" t="n"/>
      <c r="M69" s="11" t="n"/>
      <c r="N69" s="14" t="n"/>
      <c r="O69" s="15">
        <f>IF(COUNT(I69:L69)+COUNT(M69:N69)=0,"",IFERROR(I69*J69*K69*L69,0)+IFERROR(M69*4.3*N69,0))</f>
        <v/>
      </c>
      <c r="P69" s="15">
        <f>IF(O69="","",O69*6)</f>
        <v/>
      </c>
      <c r="Q69" s="16">
        <f>IF(P69="","",IF(R69="&lt;10k","Todavía no",IF(P69&lt;1500,"Todavía no",IF(P69&lt;3500,"Nivel 1","Nivel 2 o 3"))))</f>
        <v/>
      </c>
      <c r="R69" s="11" t="n"/>
      <c r="S69" s="11" t="n"/>
      <c r="T69" s="12" t="n"/>
      <c r="U69" s="11" t="n"/>
      <c r="V69" s="17" t="n"/>
    </row>
    <row r="70">
      <c r="A70" s="11" t="n"/>
      <c r="B70" s="11" t="n"/>
      <c r="C70" s="11" t="n"/>
      <c r="D70" s="11" t="n"/>
      <c r="E70" s="12" t="n"/>
      <c r="F70" s="12" t="n"/>
      <c r="G70" s="12" t="n"/>
      <c r="H70" s="11" t="n"/>
      <c r="I70" s="11" t="n"/>
      <c r="J70" s="13" t="n"/>
      <c r="K70" s="13" t="n"/>
      <c r="L70" s="14" t="n"/>
      <c r="M70" s="11" t="n"/>
      <c r="N70" s="14" t="n"/>
      <c r="O70" s="15">
        <f>IF(COUNT(I70:L70)+COUNT(M70:N70)=0,"",IFERROR(I70*J70*K70*L70,0)+IFERROR(M70*4.3*N70,0))</f>
        <v/>
      </c>
      <c r="P70" s="15">
        <f>IF(O70="","",O70*6)</f>
        <v/>
      </c>
      <c r="Q70" s="16">
        <f>IF(P70="","",IF(R70="&lt;10k","Todavía no",IF(P70&lt;1500,"Todavía no",IF(P70&lt;3500,"Nivel 1","Nivel 2 o 3"))))</f>
        <v/>
      </c>
      <c r="R70" s="11" t="n"/>
      <c r="S70" s="11" t="n"/>
      <c r="T70" s="12" t="n"/>
      <c r="U70" s="11" t="n"/>
      <c r="V70" s="17" t="n"/>
    </row>
    <row r="71">
      <c r="A71" s="11" t="n"/>
      <c r="B71" s="11" t="n"/>
      <c r="C71" s="11" t="n"/>
      <c r="D71" s="11" t="n"/>
      <c r="E71" s="12" t="n"/>
      <c r="F71" s="12" t="n"/>
      <c r="G71" s="12" t="n"/>
      <c r="H71" s="11" t="n"/>
      <c r="I71" s="11" t="n"/>
      <c r="J71" s="13" t="n"/>
      <c r="K71" s="13" t="n"/>
      <c r="L71" s="14" t="n"/>
      <c r="M71" s="11" t="n"/>
      <c r="N71" s="14" t="n"/>
      <c r="O71" s="15">
        <f>IF(COUNT(I71:L71)+COUNT(M71:N71)=0,"",IFERROR(I71*J71*K71*L71,0)+IFERROR(M71*4.3*N71,0))</f>
        <v/>
      </c>
      <c r="P71" s="15">
        <f>IF(O71="","",O71*6)</f>
        <v/>
      </c>
      <c r="Q71" s="16">
        <f>IF(P71="","",IF(R71="&lt;10k","Todavía no",IF(P71&lt;1500,"Todavía no",IF(P71&lt;3500,"Nivel 1","Nivel 2 o 3"))))</f>
        <v/>
      </c>
      <c r="R71" s="11" t="n"/>
      <c r="S71" s="11" t="n"/>
      <c r="T71" s="12" t="n"/>
      <c r="U71" s="11" t="n"/>
      <c r="V71" s="17" t="n"/>
    </row>
    <row r="72">
      <c r="A72" s="11" t="n"/>
      <c r="B72" s="11" t="n"/>
      <c r="C72" s="11" t="n"/>
      <c r="D72" s="11" t="n"/>
      <c r="E72" s="12" t="n"/>
      <c r="F72" s="12" t="n"/>
      <c r="G72" s="12" t="n"/>
      <c r="H72" s="11" t="n"/>
      <c r="I72" s="11" t="n"/>
      <c r="J72" s="13" t="n"/>
      <c r="K72" s="13" t="n"/>
      <c r="L72" s="14" t="n"/>
      <c r="M72" s="11" t="n"/>
      <c r="N72" s="14" t="n"/>
      <c r="O72" s="15">
        <f>IF(COUNT(I72:L72)+COUNT(M72:N72)=0,"",IFERROR(I72*J72*K72*L72,0)+IFERROR(M72*4.3*N72,0))</f>
        <v/>
      </c>
      <c r="P72" s="15">
        <f>IF(O72="","",O72*6)</f>
        <v/>
      </c>
      <c r="Q72" s="16">
        <f>IF(P72="","",IF(R72="&lt;10k","Todavía no",IF(P72&lt;1500,"Todavía no",IF(P72&lt;3500,"Nivel 1","Nivel 2 o 3"))))</f>
        <v/>
      </c>
      <c r="R72" s="11" t="n"/>
      <c r="S72" s="11" t="n"/>
      <c r="T72" s="12" t="n"/>
      <c r="U72" s="11" t="n"/>
      <c r="V72" s="17" t="n"/>
    </row>
    <row r="73">
      <c r="A73" s="11" t="n"/>
      <c r="B73" s="11" t="n"/>
      <c r="C73" s="11" t="n"/>
      <c r="D73" s="11" t="n"/>
      <c r="E73" s="12" t="n"/>
      <c r="F73" s="12" t="n"/>
      <c r="G73" s="12" t="n"/>
      <c r="H73" s="11" t="n"/>
      <c r="I73" s="11" t="n"/>
      <c r="J73" s="13" t="n"/>
      <c r="K73" s="13" t="n"/>
      <c r="L73" s="14" t="n"/>
      <c r="M73" s="11" t="n"/>
      <c r="N73" s="14" t="n"/>
      <c r="O73" s="15">
        <f>IF(COUNT(I73:L73)+COUNT(M73:N73)=0,"",IFERROR(I73*J73*K73*L73,0)+IFERROR(M73*4.3*N73,0))</f>
        <v/>
      </c>
      <c r="P73" s="15">
        <f>IF(O73="","",O73*6)</f>
        <v/>
      </c>
      <c r="Q73" s="16">
        <f>IF(P73="","",IF(R73="&lt;10k","Todavía no",IF(P73&lt;1500,"Todavía no",IF(P73&lt;3500,"Nivel 1","Nivel 2 o 3"))))</f>
        <v/>
      </c>
      <c r="R73" s="11" t="n"/>
      <c r="S73" s="11" t="n"/>
      <c r="T73" s="12" t="n"/>
      <c r="U73" s="11" t="n"/>
      <c r="V73" s="17" t="n"/>
    </row>
    <row r="74">
      <c r="A74" s="11" t="n"/>
      <c r="B74" s="11" t="n"/>
      <c r="C74" s="11" t="n"/>
      <c r="D74" s="11" t="n"/>
      <c r="E74" s="12" t="n"/>
      <c r="F74" s="12" t="n"/>
      <c r="G74" s="12" t="n"/>
      <c r="H74" s="11" t="n"/>
      <c r="I74" s="11" t="n"/>
      <c r="J74" s="13" t="n"/>
      <c r="K74" s="13" t="n"/>
      <c r="L74" s="14" t="n"/>
      <c r="M74" s="11" t="n"/>
      <c r="N74" s="14" t="n"/>
      <c r="O74" s="15">
        <f>IF(COUNT(I74:L74)+COUNT(M74:N74)=0,"",IFERROR(I74*J74*K74*L74,0)+IFERROR(M74*4.3*N74,0))</f>
        <v/>
      </c>
      <c r="P74" s="15">
        <f>IF(O74="","",O74*6)</f>
        <v/>
      </c>
      <c r="Q74" s="16">
        <f>IF(P74="","",IF(R74="&lt;10k","Todavía no",IF(P74&lt;1500,"Todavía no",IF(P74&lt;3500,"Nivel 1","Nivel 2 o 3"))))</f>
        <v/>
      </c>
      <c r="R74" s="11" t="n"/>
      <c r="S74" s="11" t="n"/>
      <c r="T74" s="12" t="n"/>
      <c r="U74" s="11" t="n"/>
      <c r="V74" s="17" t="n"/>
    </row>
    <row r="75">
      <c r="A75" s="11" t="n"/>
      <c r="B75" s="11" t="n"/>
      <c r="C75" s="11" t="n"/>
      <c r="D75" s="11" t="n"/>
      <c r="E75" s="12" t="n"/>
      <c r="F75" s="12" t="n"/>
      <c r="G75" s="12" t="n"/>
      <c r="H75" s="11" t="n"/>
      <c r="I75" s="11" t="n"/>
      <c r="J75" s="13" t="n"/>
      <c r="K75" s="13" t="n"/>
      <c r="L75" s="14" t="n"/>
      <c r="M75" s="11" t="n"/>
      <c r="N75" s="14" t="n"/>
      <c r="O75" s="15">
        <f>IF(COUNT(I75:L75)+COUNT(M75:N75)=0,"",IFERROR(I75*J75*K75*L75,0)+IFERROR(M75*4.3*N75,0))</f>
        <v/>
      </c>
      <c r="P75" s="15">
        <f>IF(O75="","",O75*6)</f>
        <v/>
      </c>
      <c r="Q75" s="16">
        <f>IF(P75="","",IF(R75="&lt;10k","Todavía no",IF(P75&lt;1500,"Todavía no",IF(P75&lt;3500,"Nivel 1","Nivel 2 o 3"))))</f>
        <v/>
      </c>
      <c r="R75" s="11" t="n"/>
      <c r="S75" s="11" t="n"/>
      <c r="T75" s="12" t="n"/>
      <c r="U75" s="11" t="n"/>
      <c r="V75" s="17" t="n"/>
    </row>
    <row r="76">
      <c r="A76" s="11" t="n"/>
      <c r="B76" s="11" t="n"/>
      <c r="C76" s="11" t="n"/>
      <c r="D76" s="11" t="n"/>
      <c r="E76" s="12" t="n"/>
      <c r="F76" s="12" t="n"/>
      <c r="G76" s="12" t="n"/>
      <c r="H76" s="11" t="n"/>
      <c r="I76" s="11" t="n"/>
      <c r="J76" s="13" t="n"/>
      <c r="K76" s="13" t="n"/>
      <c r="L76" s="14" t="n"/>
      <c r="M76" s="11" t="n"/>
      <c r="N76" s="14" t="n"/>
      <c r="O76" s="15">
        <f>IF(COUNT(I76:L76)+COUNT(M76:N76)=0,"",IFERROR(I76*J76*K76*L76,0)+IFERROR(M76*4.3*N76,0))</f>
        <v/>
      </c>
      <c r="P76" s="15">
        <f>IF(O76="","",O76*6)</f>
        <v/>
      </c>
      <c r="Q76" s="16">
        <f>IF(P76="","",IF(R76="&lt;10k","Todavía no",IF(P76&lt;1500,"Todavía no",IF(P76&lt;3500,"Nivel 1","Nivel 2 o 3"))))</f>
        <v/>
      </c>
      <c r="R76" s="11" t="n"/>
      <c r="S76" s="11" t="n"/>
      <c r="T76" s="12" t="n"/>
      <c r="U76" s="11" t="n"/>
      <c r="V76" s="17" t="n"/>
    </row>
    <row r="77">
      <c r="A77" s="11" t="n"/>
      <c r="B77" s="11" t="n"/>
      <c r="C77" s="11" t="n"/>
      <c r="D77" s="11" t="n"/>
      <c r="E77" s="12" t="n"/>
      <c r="F77" s="12" t="n"/>
      <c r="G77" s="12" t="n"/>
      <c r="H77" s="11" t="n"/>
      <c r="I77" s="11" t="n"/>
      <c r="J77" s="13" t="n"/>
      <c r="K77" s="13" t="n"/>
      <c r="L77" s="14" t="n"/>
      <c r="M77" s="11" t="n"/>
      <c r="N77" s="14" t="n"/>
      <c r="O77" s="15">
        <f>IF(COUNT(I77:L77)+COUNT(M77:N77)=0,"",IFERROR(I77*J77*K77*L77,0)+IFERROR(M77*4.3*N77,0))</f>
        <v/>
      </c>
      <c r="P77" s="15">
        <f>IF(O77="","",O77*6)</f>
        <v/>
      </c>
      <c r="Q77" s="16">
        <f>IF(P77="","",IF(R77="&lt;10k","Todavía no",IF(P77&lt;1500,"Todavía no",IF(P77&lt;3500,"Nivel 1","Nivel 2 o 3"))))</f>
        <v/>
      </c>
      <c r="R77" s="11" t="n"/>
      <c r="S77" s="11" t="n"/>
      <c r="T77" s="12" t="n"/>
      <c r="U77" s="11" t="n"/>
      <c r="V77" s="17" t="n"/>
    </row>
    <row r="78">
      <c r="A78" s="11" t="n"/>
      <c r="B78" s="11" t="n"/>
      <c r="C78" s="11" t="n"/>
      <c r="D78" s="11" t="n"/>
      <c r="E78" s="12" t="n"/>
      <c r="F78" s="12" t="n"/>
      <c r="G78" s="12" t="n"/>
      <c r="H78" s="11" t="n"/>
      <c r="I78" s="11" t="n"/>
      <c r="J78" s="13" t="n"/>
      <c r="K78" s="13" t="n"/>
      <c r="L78" s="14" t="n"/>
      <c r="M78" s="11" t="n"/>
      <c r="N78" s="14" t="n"/>
      <c r="O78" s="15">
        <f>IF(COUNT(I78:L78)+COUNT(M78:N78)=0,"",IFERROR(I78*J78*K78*L78,0)+IFERROR(M78*4.3*N78,0))</f>
        <v/>
      </c>
      <c r="P78" s="15">
        <f>IF(O78="","",O78*6)</f>
        <v/>
      </c>
      <c r="Q78" s="16">
        <f>IF(P78="","",IF(R78="&lt;10k","Todavía no",IF(P78&lt;1500,"Todavía no",IF(P78&lt;3500,"Nivel 1","Nivel 2 o 3"))))</f>
        <v/>
      </c>
      <c r="R78" s="11" t="n"/>
      <c r="S78" s="11" t="n"/>
      <c r="T78" s="12" t="n"/>
      <c r="U78" s="11" t="n"/>
      <c r="V78" s="17" t="n"/>
    </row>
    <row r="79">
      <c r="A79" s="11" t="n"/>
      <c r="B79" s="11" t="n"/>
      <c r="C79" s="11" t="n"/>
      <c r="D79" s="11" t="n"/>
      <c r="E79" s="12" t="n"/>
      <c r="F79" s="12" t="n"/>
      <c r="G79" s="12" t="n"/>
      <c r="H79" s="11" t="n"/>
      <c r="I79" s="11" t="n"/>
      <c r="J79" s="13" t="n"/>
      <c r="K79" s="13" t="n"/>
      <c r="L79" s="14" t="n"/>
      <c r="M79" s="11" t="n"/>
      <c r="N79" s="14" t="n"/>
      <c r="O79" s="15">
        <f>IF(COUNT(I79:L79)+COUNT(M79:N79)=0,"",IFERROR(I79*J79*K79*L79,0)+IFERROR(M79*4.3*N79,0))</f>
        <v/>
      </c>
      <c r="P79" s="15">
        <f>IF(O79="","",O79*6)</f>
        <v/>
      </c>
      <c r="Q79" s="16">
        <f>IF(P79="","",IF(R79="&lt;10k","Todavía no",IF(P79&lt;1500,"Todavía no",IF(P79&lt;3500,"Nivel 1","Nivel 2 o 3"))))</f>
        <v/>
      </c>
      <c r="R79" s="11" t="n"/>
      <c r="S79" s="11" t="n"/>
      <c r="T79" s="12" t="n"/>
      <c r="U79" s="11" t="n"/>
      <c r="V79" s="17" t="n"/>
    </row>
    <row r="80">
      <c r="A80" s="11" t="n"/>
      <c r="B80" s="11" t="n"/>
      <c r="C80" s="11" t="n"/>
      <c r="D80" s="11" t="n"/>
      <c r="E80" s="12" t="n"/>
      <c r="F80" s="12" t="n"/>
      <c r="G80" s="12" t="n"/>
      <c r="H80" s="11" t="n"/>
      <c r="I80" s="11" t="n"/>
      <c r="J80" s="13" t="n"/>
      <c r="K80" s="13" t="n"/>
      <c r="L80" s="14" t="n"/>
      <c r="M80" s="11" t="n"/>
      <c r="N80" s="14" t="n"/>
      <c r="O80" s="15">
        <f>IF(COUNT(I80:L80)+COUNT(M80:N80)=0,"",IFERROR(I80*J80*K80*L80,0)+IFERROR(M80*4.3*N80,0))</f>
        <v/>
      </c>
      <c r="P80" s="15">
        <f>IF(O80="","",O80*6)</f>
        <v/>
      </c>
      <c r="Q80" s="16">
        <f>IF(P80="","",IF(R80="&lt;10k","Todavía no",IF(P80&lt;1500,"Todavía no",IF(P80&lt;3500,"Nivel 1","Nivel 2 o 3"))))</f>
        <v/>
      </c>
      <c r="R80" s="11" t="n"/>
      <c r="S80" s="11" t="n"/>
      <c r="T80" s="12" t="n"/>
      <c r="U80" s="11" t="n"/>
      <c r="V80" s="17" t="n"/>
    </row>
    <row r="81">
      <c r="A81" s="11" t="n"/>
      <c r="B81" s="11" t="n"/>
      <c r="C81" s="11" t="n"/>
      <c r="D81" s="11" t="n"/>
      <c r="E81" s="12" t="n"/>
      <c r="F81" s="12" t="n"/>
      <c r="G81" s="12" t="n"/>
      <c r="H81" s="11" t="n"/>
      <c r="I81" s="11" t="n"/>
      <c r="J81" s="13" t="n"/>
      <c r="K81" s="13" t="n"/>
      <c r="L81" s="14" t="n"/>
      <c r="M81" s="11" t="n"/>
      <c r="N81" s="14" t="n"/>
      <c r="O81" s="15">
        <f>IF(COUNT(I81:L81)+COUNT(M81:N81)=0,"",IFERROR(I81*J81*K81*L81,0)+IFERROR(M81*4.3*N81,0))</f>
        <v/>
      </c>
      <c r="P81" s="15">
        <f>IF(O81="","",O81*6)</f>
        <v/>
      </c>
      <c r="Q81" s="16">
        <f>IF(P81="","",IF(R81="&lt;10k","Todavía no",IF(P81&lt;1500,"Todavía no",IF(P81&lt;3500,"Nivel 1","Nivel 2 o 3"))))</f>
        <v/>
      </c>
      <c r="R81" s="11" t="n"/>
      <c r="S81" s="11" t="n"/>
      <c r="T81" s="12" t="n"/>
      <c r="U81" s="11" t="n"/>
      <c r="V81" s="17" t="n"/>
    </row>
    <row r="82">
      <c r="A82" s="11" t="n"/>
      <c r="B82" s="11" t="n"/>
      <c r="C82" s="11" t="n"/>
      <c r="D82" s="11" t="n"/>
      <c r="E82" s="12" t="n"/>
      <c r="F82" s="12" t="n"/>
      <c r="G82" s="12" t="n"/>
      <c r="H82" s="11" t="n"/>
      <c r="I82" s="11" t="n"/>
      <c r="J82" s="13" t="n"/>
      <c r="K82" s="13" t="n"/>
      <c r="L82" s="14" t="n"/>
      <c r="M82" s="11" t="n"/>
      <c r="N82" s="14" t="n"/>
      <c r="O82" s="15">
        <f>IF(COUNT(I82:L82)+COUNT(M82:N82)=0,"",IFERROR(I82*J82*K82*L82,0)+IFERROR(M82*4.3*N82,0))</f>
        <v/>
      </c>
      <c r="P82" s="15">
        <f>IF(O82="","",O82*6)</f>
        <v/>
      </c>
      <c r="Q82" s="16">
        <f>IF(P82="","",IF(R82="&lt;10k","Todavía no",IF(P82&lt;1500,"Todavía no",IF(P82&lt;3500,"Nivel 1","Nivel 2 o 3"))))</f>
        <v/>
      </c>
      <c r="R82" s="11" t="n"/>
      <c r="S82" s="11" t="n"/>
      <c r="T82" s="12" t="n"/>
      <c r="U82" s="11" t="n"/>
      <c r="V82" s="17" t="n"/>
    </row>
    <row r="83">
      <c r="A83" s="11" t="n"/>
      <c r="B83" s="11" t="n"/>
      <c r="C83" s="11" t="n"/>
      <c r="D83" s="11" t="n"/>
      <c r="E83" s="12" t="n"/>
      <c r="F83" s="12" t="n"/>
      <c r="G83" s="12" t="n"/>
      <c r="H83" s="11" t="n"/>
      <c r="I83" s="11" t="n"/>
      <c r="J83" s="13" t="n"/>
      <c r="K83" s="13" t="n"/>
      <c r="L83" s="14" t="n"/>
      <c r="M83" s="11" t="n"/>
      <c r="N83" s="14" t="n"/>
      <c r="O83" s="15">
        <f>IF(COUNT(I83:L83)+COUNT(M83:N83)=0,"",IFERROR(I83*J83*K83*L83,0)+IFERROR(M83*4.3*N83,0))</f>
        <v/>
      </c>
      <c r="P83" s="15">
        <f>IF(O83="","",O83*6)</f>
        <v/>
      </c>
      <c r="Q83" s="16">
        <f>IF(P83="","",IF(R83="&lt;10k","Todavía no",IF(P83&lt;1500,"Todavía no",IF(P83&lt;3500,"Nivel 1","Nivel 2 o 3"))))</f>
        <v/>
      </c>
      <c r="R83" s="11" t="n"/>
      <c r="S83" s="11" t="n"/>
      <c r="T83" s="12" t="n"/>
      <c r="U83" s="11" t="n"/>
      <c r="V83" s="17" t="n"/>
    </row>
    <row r="84">
      <c r="A84" s="11" t="n"/>
      <c r="B84" s="11" t="n"/>
      <c r="C84" s="11" t="n"/>
      <c r="D84" s="11" t="n"/>
      <c r="E84" s="12" t="n"/>
      <c r="F84" s="12" t="n"/>
      <c r="G84" s="12" t="n"/>
      <c r="H84" s="11" t="n"/>
      <c r="I84" s="11" t="n"/>
      <c r="J84" s="13" t="n"/>
      <c r="K84" s="13" t="n"/>
      <c r="L84" s="14" t="n"/>
      <c r="M84" s="11" t="n"/>
      <c r="N84" s="14" t="n"/>
      <c r="O84" s="15">
        <f>IF(COUNT(I84:L84)+COUNT(M84:N84)=0,"",IFERROR(I84*J84*K84*L84,0)+IFERROR(M84*4.3*N84,0))</f>
        <v/>
      </c>
      <c r="P84" s="15">
        <f>IF(O84="","",O84*6)</f>
        <v/>
      </c>
      <c r="Q84" s="16">
        <f>IF(P84="","",IF(R84="&lt;10k","Todavía no",IF(P84&lt;1500,"Todavía no",IF(P84&lt;3500,"Nivel 1","Nivel 2 o 3"))))</f>
        <v/>
      </c>
      <c r="R84" s="11" t="n"/>
      <c r="S84" s="11" t="n"/>
      <c r="T84" s="12" t="n"/>
      <c r="U84" s="11" t="n"/>
      <c r="V84" s="17" t="n"/>
    </row>
    <row r="85">
      <c r="A85" s="11" t="n"/>
      <c r="B85" s="11" t="n"/>
      <c r="C85" s="11" t="n"/>
      <c r="D85" s="11" t="n"/>
      <c r="E85" s="12" t="n"/>
      <c r="F85" s="12" t="n"/>
      <c r="G85" s="12" t="n"/>
      <c r="H85" s="11" t="n"/>
      <c r="I85" s="11" t="n"/>
      <c r="J85" s="13" t="n"/>
      <c r="K85" s="13" t="n"/>
      <c r="L85" s="14" t="n"/>
      <c r="M85" s="11" t="n"/>
      <c r="N85" s="14" t="n"/>
      <c r="O85" s="15">
        <f>IF(COUNT(I85:L85)+COUNT(M85:N85)=0,"",IFERROR(I85*J85*K85*L85,0)+IFERROR(M85*4.3*N85,0))</f>
        <v/>
      </c>
      <c r="P85" s="15">
        <f>IF(O85="","",O85*6)</f>
        <v/>
      </c>
      <c r="Q85" s="16">
        <f>IF(P85="","",IF(R85="&lt;10k","Todavía no",IF(P85&lt;1500,"Todavía no",IF(P85&lt;3500,"Nivel 1","Nivel 2 o 3"))))</f>
        <v/>
      </c>
      <c r="R85" s="11" t="n"/>
      <c r="S85" s="11" t="n"/>
      <c r="T85" s="12" t="n"/>
      <c r="U85" s="11" t="n"/>
      <c r="V85" s="17" t="n"/>
    </row>
    <row r="86">
      <c r="A86" s="11" t="n"/>
      <c r="B86" s="11" t="n"/>
      <c r="C86" s="11" t="n"/>
      <c r="D86" s="11" t="n"/>
      <c r="E86" s="12" t="n"/>
      <c r="F86" s="12" t="n"/>
      <c r="G86" s="12" t="n"/>
      <c r="H86" s="11" t="n"/>
      <c r="I86" s="11" t="n"/>
      <c r="J86" s="13" t="n"/>
      <c r="K86" s="13" t="n"/>
      <c r="L86" s="14" t="n"/>
      <c r="M86" s="11" t="n"/>
      <c r="N86" s="14" t="n"/>
      <c r="O86" s="15">
        <f>IF(COUNT(I86:L86)+COUNT(M86:N86)=0,"",IFERROR(I86*J86*K86*L86,0)+IFERROR(M86*4.3*N86,0))</f>
        <v/>
      </c>
      <c r="P86" s="15">
        <f>IF(O86="","",O86*6)</f>
        <v/>
      </c>
      <c r="Q86" s="16">
        <f>IF(P86="","",IF(R86="&lt;10k","Todavía no",IF(P86&lt;1500,"Todavía no",IF(P86&lt;3500,"Nivel 1","Nivel 2 o 3"))))</f>
        <v/>
      </c>
      <c r="R86" s="11" t="n"/>
      <c r="S86" s="11" t="n"/>
      <c r="T86" s="12" t="n"/>
      <c r="U86" s="11" t="n"/>
      <c r="V86" s="17" t="n"/>
    </row>
    <row r="87">
      <c r="A87" s="11" t="n"/>
      <c r="B87" s="11" t="n"/>
      <c r="C87" s="11" t="n"/>
      <c r="D87" s="11" t="n"/>
      <c r="E87" s="12" t="n"/>
      <c r="F87" s="12" t="n"/>
      <c r="G87" s="12" t="n"/>
      <c r="H87" s="11" t="n"/>
      <c r="I87" s="11" t="n"/>
      <c r="J87" s="13" t="n"/>
      <c r="K87" s="13" t="n"/>
      <c r="L87" s="14" t="n"/>
      <c r="M87" s="11" t="n"/>
      <c r="N87" s="14" t="n"/>
      <c r="O87" s="15">
        <f>IF(COUNT(I87:L87)+COUNT(M87:N87)=0,"",IFERROR(I87*J87*K87*L87,0)+IFERROR(M87*4.3*N87,0))</f>
        <v/>
      </c>
      <c r="P87" s="15">
        <f>IF(O87="","",O87*6)</f>
        <v/>
      </c>
      <c r="Q87" s="16">
        <f>IF(P87="","",IF(R87="&lt;10k","Todavía no",IF(P87&lt;1500,"Todavía no",IF(P87&lt;3500,"Nivel 1","Nivel 2 o 3"))))</f>
        <v/>
      </c>
      <c r="R87" s="11" t="n"/>
      <c r="S87" s="11" t="n"/>
      <c r="T87" s="12" t="n"/>
      <c r="U87" s="11" t="n"/>
      <c r="V87" s="17" t="n"/>
    </row>
    <row r="88">
      <c r="A88" s="11" t="n"/>
      <c r="B88" s="11" t="n"/>
      <c r="C88" s="11" t="n"/>
      <c r="D88" s="11" t="n"/>
      <c r="E88" s="12" t="n"/>
      <c r="F88" s="12" t="n"/>
      <c r="G88" s="12" t="n"/>
      <c r="H88" s="11" t="n"/>
      <c r="I88" s="11" t="n"/>
      <c r="J88" s="13" t="n"/>
      <c r="K88" s="13" t="n"/>
      <c r="L88" s="14" t="n"/>
      <c r="M88" s="11" t="n"/>
      <c r="N88" s="14" t="n"/>
      <c r="O88" s="15">
        <f>IF(COUNT(I88:L88)+COUNT(M88:N88)=0,"",IFERROR(I88*J88*K88*L88,0)+IFERROR(M88*4.3*N88,0))</f>
        <v/>
      </c>
      <c r="P88" s="15">
        <f>IF(O88="","",O88*6)</f>
        <v/>
      </c>
      <c r="Q88" s="16">
        <f>IF(P88="","",IF(R88="&lt;10k","Todavía no",IF(P88&lt;1500,"Todavía no",IF(P88&lt;3500,"Nivel 1","Nivel 2 o 3"))))</f>
        <v/>
      </c>
      <c r="R88" s="11" t="n"/>
      <c r="S88" s="11" t="n"/>
      <c r="T88" s="12" t="n"/>
      <c r="U88" s="11" t="n"/>
      <c r="V88" s="17" t="n"/>
    </row>
    <row r="89">
      <c r="A89" s="11" t="n"/>
      <c r="B89" s="11" t="n"/>
      <c r="C89" s="11" t="n"/>
      <c r="D89" s="11" t="n"/>
      <c r="E89" s="12" t="n"/>
      <c r="F89" s="12" t="n"/>
      <c r="G89" s="12" t="n"/>
      <c r="H89" s="11" t="n"/>
      <c r="I89" s="11" t="n"/>
      <c r="J89" s="13" t="n"/>
      <c r="K89" s="13" t="n"/>
      <c r="L89" s="14" t="n"/>
      <c r="M89" s="11" t="n"/>
      <c r="N89" s="14" t="n"/>
      <c r="O89" s="15">
        <f>IF(COUNT(I89:L89)+COUNT(M89:N89)=0,"",IFERROR(I89*J89*K89*L89,0)+IFERROR(M89*4.3*N89,0))</f>
        <v/>
      </c>
      <c r="P89" s="15">
        <f>IF(O89="","",O89*6)</f>
        <v/>
      </c>
      <c r="Q89" s="16">
        <f>IF(P89="","",IF(R89="&lt;10k","Todavía no",IF(P89&lt;1500,"Todavía no",IF(P89&lt;3500,"Nivel 1","Nivel 2 o 3"))))</f>
        <v/>
      </c>
      <c r="R89" s="11" t="n"/>
      <c r="S89" s="11" t="n"/>
      <c r="T89" s="12" t="n"/>
      <c r="U89" s="11" t="n"/>
      <c r="V89" s="17" t="n"/>
    </row>
    <row r="90">
      <c r="A90" s="11" t="n"/>
      <c r="B90" s="11" t="n"/>
      <c r="C90" s="11" t="n"/>
      <c r="D90" s="11" t="n"/>
      <c r="E90" s="12" t="n"/>
      <c r="F90" s="12" t="n"/>
      <c r="G90" s="12" t="n"/>
      <c r="H90" s="11" t="n"/>
      <c r="I90" s="11" t="n"/>
      <c r="J90" s="13" t="n"/>
      <c r="K90" s="13" t="n"/>
      <c r="L90" s="14" t="n"/>
      <c r="M90" s="11" t="n"/>
      <c r="N90" s="14" t="n"/>
      <c r="O90" s="15">
        <f>IF(COUNT(I90:L90)+COUNT(M90:N90)=0,"",IFERROR(I90*J90*K90*L90,0)+IFERROR(M90*4.3*N90,0))</f>
        <v/>
      </c>
      <c r="P90" s="15">
        <f>IF(O90="","",O90*6)</f>
        <v/>
      </c>
      <c r="Q90" s="16">
        <f>IF(P90="","",IF(R90="&lt;10k","Todavía no",IF(P90&lt;1500,"Todavía no",IF(P90&lt;3500,"Nivel 1","Nivel 2 o 3"))))</f>
        <v/>
      </c>
      <c r="R90" s="11" t="n"/>
      <c r="S90" s="11" t="n"/>
      <c r="T90" s="12" t="n"/>
      <c r="U90" s="11" t="n"/>
      <c r="V90" s="17" t="n"/>
    </row>
    <row r="91">
      <c r="A91" s="11" t="n"/>
      <c r="B91" s="11" t="n"/>
      <c r="C91" s="11" t="n"/>
      <c r="D91" s="11" t="n"/>
      <c r="E91" s="12" t="n"/>
      <c r="F91" s="12" t="n"/>
      <c r="G91" s="12" t="n"/>
      <c r="H91" s="11" t="n"/>
      <c r="I91" s="11" t="n"/>
      <c r="J91" s="13" t="n"/>
      <c r="K91" s="13" t="n"/>
      <c r="L91" s="14" t="n"/>
      <c r="M91" s="11" t="n"/>
      <c r="N91" s="14" t="n"/>
      <c r="O91" s="15">
        <f>IF(COUNT(I91:L91)+COUNT(M91:N91)=0,"",IFERROR(I91*J91*K91*L91,0)+IFERROR(M91*4.3*N91,0))</f>
        <v/>
      </c>
      <c r="P91" s="15">
        <f>IF(O91="","",O91*6)</f>
        <v/>
      </c>
      <c r="Q91" s="16">
        <f>IF(P91="","",IF(R91="&lt;10k","Todavía no",IF(P91&lt;1500,"Todavía no",IF(P91&lt;3500,"Nivel 1","Nivel 2 o 3"))))</f>
        <v/>
      </c>
      <c r="R91" s="11" t="n"/>
      <c r="S91" s="11" t="n"/>
      <c r="T91" s="12" t="n"/>
      <c r="U91" s="11" t="n"/>
      <c r="V91" s="17" t="n"/>
    </row>
    <row r="92">
      <c r="A92" s="11" t="n"/>
      <c r="B92" s="11" t="n"/>
      <c r="C92" s="11" t="n"/>
      <c r="D92" s="11" t="n"/>
      <c r="E92" s="12" t="n"/>
      <c r="F92" s="12" t="n"/>
      <c r="G92" s="12" t="n"/>
      <c r="H92" s="11" t="n"/>
      <c r="I92" s="11" t="n"/>
      <c r="J92" s="13" t="n"/>
      <c r="K92" s="13" t="n"/>
      <c r="L92" s="14" t="n"/>
      <c r="M92" s="11" t="n"/>
      <c r="N92" s="14" t="n"/>
      <c r="O92" s="15">
        <f>IF(COUNT(I92:L92)+COUNT(M92:N92)=0,"",IFERROR(I92*J92*K92*L92,0)+IFERROR(M92*4.3*N92,0))</f>
        <v/>
      </c>
      <c r="P92" s="15">
        <f>IF(O92="","",O92*6)</f>
        <v/>
      </c>
      <c r="Q92" s="16">
        <f>IF(P92="","",IF(R92="&lt;10k","Todavía no",IF(P92&lt;1500,"Todavía no",IF(P92&lt;3500,"Nivel 1","Nivel 2 o 3"))))</f>
        <v/>
      </c>
      <c r="R92" s="11" t="n"/>
      <c r="S92" s="11" t="n"/>
      <c r="T92" s="12" t="n"/>
      <c r="U92" s="11" t="n"/>
      <c r="V92" s="17" t="n"/>
    </row>
    <row r="93">
      <c r="A93" s="11" t="n"/>
      <c r="B93" s="11" t="n"/>
      <c r="C93" s="11" t="n"/>
      <c r="D93" s="11" t="n"/>
      <c r="E93" s="12" t="n"/>
      <c r="F93" s="12" t="n"/>
      <c r="G93" s="12" t="n"/>
      <c r="H93" s="11" t="n"/>
      <c r="I93" s="11" t="n"/>
      <c r="J93" s="13" t="n"/>
      <c r="K93" s="13" t="n"/>
      <c r="L93" s="14" t="n"/>
      <c r="M93" s="11" t="n"/>
      <c r="N93" s="14" t="n"/>
      <c r="O93" s="15">
        <f>IF(COUNT(I93:L93)+COUNT(M93:N93)=0,"",IFERROR(I93*J93*K93*L93,0)+IFERROR(M93*4.3*N93,0))</f>
        <v/>
      </c>
      <c r="P93" s="15">
        <f>IF(O93="","",O93*6)</f>
        <v/>
      </c>
      <c r="Q93" s="16">
        <f>IF(P93="","",IF(R93="&lt;10k","Todavía no",IF(P93&lt;1500,"Todavía no",IF(P93&lt;3500,"Nivel 1","Nivel 2 o 3"))))</f>
        <v/>
      </c>
      <c r="R93" s="11" t="n"/>
      <c r="S93" s="11" t="n"/>
      <c r="T93" s="12" t="n"/>
      <c r="U93" s="11" t="n"/>
      <c r="V93" s="17" t="n"/>
    </row>
    <row r="94">
      <c r="A94" s="11" t="n"/>
      <c r="B94" s="11" t="n"/>
      <c r="C94" s="11" t="n"/>
      <c r="D94" s="11" t="n"/>
      <c r="E94" s="12" t="n"/>
      <c r="F94" s="12" t="n"/>
      <c r="G94" s="12" t="n"/>
      <c r="H94" s="11" t="n"/>
      <c r="I94" s="11" t="n"/>
      <c r="J94" s="13" t="n"/>
      <c r="K94" s="13" t="n"/>
      <c r="L94" s="14" t="n"/>
      <c r="M94" s="11" t="n"/>
      <c r="N94" s="14" t="n"/>
      <c r="O94" s="15">
        <f>IF(COUNT(I94:L94)+COUNT(M94:N94)=0,"",IFERROR(I94*J94*K94*L94,0)+IFERROR(M94*4.3*N94,0))</f>
        <v/>
      </c>
      <c r="P94" s="15">
        <f>IF(O94="","",O94*6)</f>
        <v/>
      </c>
      <c r="Q94" s="16">
        <f>IF(P94="","",IF(R94="&lt;10k","Todavía no",IF(P94&lt;1500,"Todavía no",IF(P94&lt;3500,"Nivel 1","Nivel 2 o 3"))))</f>
        <v/>
      </c>
      <c r="R94" s="11" t="n"/>
      <c r="S94" s="11" t="n"/>
      <c r="T94" s="12" t="n"/>
      <c r="U94" s="11" t="n"/>
      <c r="V94" s="17" t="n"/>
    </row>
    <row r="95">
      <c r="A95" s="11" t="n"/>
      <c r="B95" s="11" t="n"/>
      <c r="C95" s="11" t="n"/>
      <c r="D95" s="11" t="n"/>
      <c r="E95" s="12" t="n"/>
      <c r="F95" s="12" t="n"/>
      <c r="G95" s="12" t="n"/>
      <c r="H95" s="11" t="n"/>
      <c r="I95" s="11" t="n"/>
      <c r="J95" s="13" t="n"/>
      <c r="K95" s="13" t="n"/>
      <c r="L95" s="14" t="n"/>
      <c r="M95" s="11" t="n"/>
      <c r="N95" s="14" t="n"/>
      <c r="O95" s="15">
        <f>IF(COUNT(I95:L95)+COUNT(M95:N95)=0,"",IFERROR(I95*J95*K95*L95,0)+IFERROR(M95*4.3*N95,0))</f>
        <v/>
      </c>
      <c r="P95" s="15">
        <f>IF(O95="","",O95*6)</f>
        <v/>
      </c>
      <c r="Q95" s="16">
        <f>IF(P95="","",IF(R95="&lt;10k","Todavía no",IF(P95&lt;1500,"Todavía no",IF(P95&lt;3500,"Nivel 1","Nivel 2 o 3"))))</f>
        <v/>
      </c>
      <c r="R95" s="11" t="n"/>
      <c r="S95" s="11" t="n"/>
      <c r="T95" s="12" t="n"/>
      <c r="U95" s="11" t="n"/>
      <c r="V95" s="17" t="n"/>
    </row>
    <row r="96">
      <c r="A96" s="11" t="n"/>
      <c r="B96" s="11" t="n"/>
      <c r="C96" s="11" t="n"/>
      <c r="D96" s="11" t="n"/>
      <c r="E96" s="12" t="n"/>
      <c r="F96" s="12" t="n"/>
      <c r="G96" s="12" t="n"/>
      <c r="H96" s="11" t="n"/>
      <c r="I96" s="11" t="n"/>
      <c r="J96" s="13" t="n"/>
      <c r="K96" s="13" t="n"/>
      <c r="L96" s="14" t="n"/>
      <c r="M96" s="11" t="n"/>
      <c r="N96" s="14" t="n"/>
      <c r="O96" s="15">
        <f>IF(COUNT(I96:L96)+COUNT(M96:N96)=0,"",IFERROR(I96*J96*K96*L96,0)+IFERROR(M96*4.3*N96,0))</f>
        <v/>
      </c>
      <c r="P96" s="15">
        <f>IF(O96="","",O96*6)</f>
        <v/>
      </c>
      <c r="Q96" s="16">
        <f>IF(P96="","",IF(R96="&lt;10k","Todavía no",IF(P96&lt;1500,"Todavía no",IF(P96&lt;3500,"Nivel 1","Nivel 2 o 3"))))</f>
        <v/>
      </c>
      <c r="R96" s="11" t="n"/>
      <c r="S96" s="11" t="n"/>
      <c r="T96" s="12" t="n"/>
      <c r="U96" s="11" t="n"/>
      <c r="V96" s="17" t="n"/>
    </row>
    <row r="97">
      <c r="A97" s="11" t="n"/>
      <c r="B97" s="11" t="n"/>
      <c r="C97" s="11" t="n"/>
      <c r="D97" s="11" t="n"/>
      <c r="E97" s="12" t="n"/>
      <c r="F97" s="12" t="n"/>
      <c r="G97" s="12" t="n"/>
      <c r="H97" s="11" t="n"/>
      <c r="I97" s="11" t="n"/>
      <c r="J97" s="13" t="n"/>
      <c r="K97" s="13" t="n"/>
      <c r="L97" s="14" t="n"/>
      <c r="M97" s="11" t="n"/>
      <c r="N97" s="14" t="n"/>
      <c r="O97" s="15">
        <f>IF(COUNT(I97:L97)+COUNT(M97:N97)=0,"",IFERROR(I97*J97*K97*L97,0)+IFERROR(M97*4.3*N97,0))</f>
        <v/>
      </c>
      <c r="P97" s="15">
        <f>IF(O97="","",O97*6)</f>
        <v/>
      </c>
      <c r="Q97" s="16">
        <f>IF(P97="","",IF(R97="&lt;10k","Todavía no",IF(P97&lt;1500,"Todavía no",IF(P97&lt;3500,"Nivel 1","Nivel 2 o 3"))))</f>
        <v/>
      </c>
      <c r="R97" s="11" t="n"/>
      <c r="S97" s="11" t="n"/>
      <c r="T97" s="12" t="n"/>
      <c r="U97" s="11" t="n"/>
      <c r="V97" s="17" t="n"/>
    </row>
    <row r="98">
      <c r="A98" s="11" t="n"/>
      <c r="B98" s="11" t="n"/>
      <c r="C98" s="11" t="n"/>
      <c r="D98" s="11" t="n"/>
      <c r="E98" s="12" t="n"/>
      <c r="F98" s="12" t="n"/>
      <c r="G98" s="12" t="n"/>
      <c r="H98" s="11" t="n"/>
      <c r="I98" s="11" t="n"/>
      <c r="J98" s="13" t="n"/>
      <c r="K98" s="13" t="n"/>
      <c r="L98" s="14" t="n"/>
      <c r="M98" s="11" t="n"/>
      <c r="N98" s="14" t="n"/>
      <c r="O98" s="15">
        <f>IF(COUNT(I98:L98)+COUNT(M98:N98)=0,"",IFERROR(I98*J98*K98*L98,0)+IFERROR(M98*4.3*N98,0))</f>
        <v/>
      </c>
      <c r="P98" s="15">
        <f>IF(O98="","",O98*6)</f>
        <v/>
      </c>
      <c r="Q98" s="16">
        <f>IF(P98="","",IF(R98="&lt;10k","Todavía no",IF(P98&lt;1500,"Todavía no",IF(P98&lt;3500,"Nivel 1","Nivel 2 o 3"))))</f>
        <v/>
      </c>
      <c r="R98" s="11" t="n"/>
      <c r="S98" s="11" t="n"/>
      <c r="T98" s="12" t="n"/>
      <c r="U98" s="11" t="n"/>
      <c r="V98" s="17" t="n"/>
    </row>
    <row r="99">
      <c r="A99" s="11" t="n"/>
      <c r="B99" s="11" t="n"/>
      <c r="C99" s="11" t="n"/>
      <c r="D99" s="11" t="n"/>
      <c r="E99" s="12" t="n"/>
      <c r="F99" s="12" t="n"/>
      <c r="G99" s="12" t="n"/>
      <c r="H99" s="11" t="n"/>
      <c r="I99" s="11" t="n"/>
      <c r="J99" s="13" t="n"/>
      <c r="K99" s="13" t="n"/>
      <c r="L99" s="14" t="n"/>
      <c r="M99" s="11" t="n"/>
      <c r="N99" s="14" t="n"/>
      <c r="O99" s="15">
        <f>IF(COUNT(I99:L99)+COUNT(M99:N99)=0,"",IFERROR(I99*J99*K99*L99,0)+IFERROR(M99*4.3*N99,0))</f>
        <v/>
      </c>
      <c r="P99" s="15">
        <f>IF(O99="","",O99*6)</f>
        <v/>
      </c>
      <c r="Q99" s="16">
        <f>IF(P99="","",IF(R99="&lt;10k","Todavía no",IF(P99&lt;1500,"Todavía no",IF(P99&lt;3500,"Nivel 1","Nivel 2 o 3"))))</f>
        <v/>
      </c>
      <c r="R99" s="11" t="n"/>
      <c r="S99" s="11" t="n"/>
      <c r="T99" s="12" t="n"/>
      <c r="U99" s="11" t="n"/>
      <c r="V99" s="17" t="n"/>
    </row>
    <row r="100">
      <c r="A100" s="11" t="n"/>
      <c r="B100" s="11" t="n"/>
      <c r="C100" s="11" t="n"/>
      <c r="D100" s="11" t="n"/>
      <c r="E100" s="12" t="n"/>
      <c r="F100" s="12" t="n"/>
      <c r="G100" s="12" t="n"/>
      <c r="H100" s="11" t="n"/>
      <c r="I100" s="11" t="n"/>
      <c r="J100" s="13" t="n"/>
      <c r="K100" s="13" t="n"/>
      <c r="L100" s="14" t="n"/>
      <c r="M100" s="11" t="n"/>
      <c r="N100" s="14" t="n"/>
      <c r="O100" s="15">
        <f>IF(COUNT(I100:L100)+COUNT(M100:N100)=0,"",IFERROR(I100*J100*K100*L100,0)+IFERROR(M100*4.3*N100,0))</f>
        <v/>
      </c>
      <c r="P100" s="15">
        <f>IF(O100="","",O100*6)</f>
        <v/>
      </c>
      <c r="Q100" s="16">
        <f>IF(P100="","",IF(R100="&lt;10k","Todavía no",IF(P100&lt;1500,"Todavía no",IF(P100&lt;3500,"Nivel 1","Nivel 2 o 3"))))</f>
        <v/>
      </c>
      <c r="R100" s="11" t="n"/>
      <c r="S100" s="11" t="n"/>
      <c r="T100" s="12" t="n"/>
      <c r="U100" s="11" t="n"/>
      <c r="V100" s="17" t="n"/>
    </row>
    <row r="101">
      <c r="A101" s="11" t="n"/>
      <c r="B101" s="11" t="n"/>
      <c r="C101" s="11" t="n"/>
      <c r="D101" s="11" t="n"/>
      <c r="E101" s="12" t="n"/>
      <c r="F101" s="12" t="n"/>
      <c r="G101" s="12" t="n"/>
      <c r="H101" s="11" t="n"/>
      <c r="I101" s="11" t="n"/>
      <c r="J101" s="13" t="n"/>
      <c r="K101" s="13" t="n"/>
      <c r="L101" s="14" t="n"/>
      <c r="M101" s="11" t="n"/>
      <c r="N101" s="14" t="n"/>
      <c r="O101" s="15">
        <f>IF(COUNT(I101:L101)+COUNT(M101:N101)=0,"",IFERROR(I101*J101*K101*L101,0)+IFERROR(M101*4.3*N101,0))</f>
        <v/>
      </c>
      <c r="P101" s="15">
        <f>IF(O101="","",O101*6)</f>
        <v/>
      </c>
      <c r="Q101" s="16">
        <f>IF(P101="","",IF(R101="&lt;10k","Todavía no",IF(P101&lt;1500,"Todavía no",IF(P101&lt;3500,"Nivel 1","Nivel 2 o 3"))))</f>
        <v/>
      </c>
      <c r="R101" s="11" t="n"/>
      <c r="S101" s="11" t="n"/>
      <c r="T101" s="12" t="n"/>
      <c r="U101" s="11" t="n"/>
      <c r="V101" s="17" t="n"/>
    </row>
    <row r="102">
      <c r="A102" s="11" t="n"/>
      <c r="B102" s="11" t="n"/>
      <c r="C102" s="11" t="n"/>
      <c r="D102" s="11" t="n"/>
      <c r="E102" s="12" t="n"/>
      <c r="F102" s="12" t="n"/>
      <c r="G102" s="12" t="n"/>
      <c r="H102" s="11" t="n"/>
      <c r="I102" s="11" t="n"/>
      <c r="J102" s="13" t="n"/>
      <c r="K102" s="13" t="n"/>
      <c r="L102" s="14" t="n"/>
      <c r="M102" s="11" t="n"/>
      <c r="N102" s="14" t="n"/>
      <c r="O102" s="15">
        <f>IF(COUNT(I102:L102)+COUNT(M102:N102)=0,"",IFERROR(I102*J102*K102*L102,0)+IFERROR(M102*4.3*N102,0))</f>
        <v/>
      </c>
      <c r="P102" s="15">
        <f>IF(O102="","",O102*6)</f>
        <v/>
      </c>
      <c r="Q102" s="16">
        <f>IF(P102="","",IF(R102="&lt;10k","Todavía no",IF(P102&lt;1500,"Todavía no",IF(P102&lt;3500,"Nivel 1","Nivel 2 o 3"))))</f>
        <v/>
      </c>
      <c r="R102" s="11" t="n"/>
      <c r="S102" s="11" t="n"/>
      <c r="T102" s="12" t="n"/>
      <c r="U102" s="11" t="n"/>
      <c r="V102" s="17" t="n"/>
    </row>
    <row r="103">
      <c r="A103" s="11" t="n"/>
      <c r="B103" s="11" t="n"/>
      <c r="C103" s="11" t="n"/>
      <c r="D103" s="11" t="n"/>
      <c r="E103" s="12" t="n"/>
      <c r="F103" s="12" t="n"/>
      <c r="G103" s="12" t="n"/>
      <c r="H103" s="11" t="n"/>
      <c r="I103" s="11" t="n"/>
      <c r="J103" s="13" t="n"/>
      <c r="K103" s="13" t="n"/>
      <c r="L103" s="14" t="n"/>
      <c r="M103" s="11" t="n"/>
      <c r="N103" s="14" t="n"/>
      <c r="O103" s="15">
        <f>IF(COUNT(I103:L103)+COUNT(M103:N103)=0,"",IFERROR(I103*J103*K103*L103,0)+IFERROR(M103*4.3*N103,0))</f>
        <v/>
      </c>
      <c r="P103" s="15">
        <f>IF(O103="","",O103*6)</f>
        <v/>
      </c>
      <c r="Q103" s="16">
        <f>IF(P103="","",IF(R103="&lt;10k","Todavía no",IF(P103&lt;1500,"Todavía no",IF(P103&lt;3500,"Nivel 1","Nivel 2 o 3"))))</f>
        <v/>
      </c>
      <c r="R103" s="11" t="n"/>
      <c r="S103" s="11" t="n"/>
      <c r="T103" s="12" t="n"/>
      <c r="U103" s="11" t="n"/>
      <c r="V103" s="17" t="n"/>
    </row>
    <row r="104">
      <c r="A104" s="11" t="n"/>
      <c r="B104" s="11" t="n"/>
      <c r="C104" s="11" t="n"/>
      <c r="D104" s="11" t="n"/>
      <c r="E104" s="12" t="n"/>
      <c r="F104" s="12" t="n"/>
      <c r="G104" s="12" t="n"/>
      <c r="H104" s="11" t="n"/>
      <c r="I104" s="11" t="n"/>
      <c r="J104" s="13" t="n"/>
      <c r="K104" s="13" t="n"/>
      <c r="L104" s="14" t="n"/>
      <c r="M104" s="11" t="n"/>
      <c r="N104" s="14" t="n"/>
      <c r="O104" s="15">
        <f>IF(COUNT(I104:L104)+COUNT(M104:N104)=0,"",IFERROR(I104*J104*K104*L104,0)+IFERROR(M104*4.3*N104,0))</f>
        <v/>
      </c>
      <c r="P104" s="15">
        <f>IF(O104="","",O104*6)</f>
        <v/>
      </c>
      <c r="Q104" s="16">
        <f>IF(P104="","",IF(R104="&lt;10k","Todavía no",IF(P104&lt;1500,"Todavía no",IF(P104&lt;3500,"Nivel 1","Nivel 2 o 3"))))</f>
        <v/>
      </c>
      <c r="R104" s="11" t="n"/>
      <c r="S104" s="11" t="n"/>
      <c r="T104" s="12" t="n"/>
      <c r="U104" s="11" t="n"/>
      <c r="V104" s="17" t="n"/>
    </row>
    <row r="105">
      <c r="A105" s="11" t="n"/>
      <c r="B105" s="11" t="n"/>
      <c r="C105" s="11" t="n"/>
      <c r="D105" s="11" t="n"/>
      <c r="E105" s="12" t="n"/>
      <c r="F105" s="12" t="n"/>
      <c r="G105" s="12" t="n"/>
      <c r="H105" s="11" t="n"/>
      <c r="I105" s="11" t="n"/>
      <c r="J105" s="13" t="n"/>
      <c r="K105" s="13" t="n"/>
      <c r="L105" s="14" t="n"/>
      <c r="M105" s="11" t="n"/>
      <c r="N105" s="14" t="n"/>
      <c r="O105" s="15">
        <f>IF(COUNT(I105:L105)+COUNT(M105:N105)=0,"",IFERROR(I105*J105*K105*L105,0)+IFERROR(M105*4.3*N105,0))</f>
        <v/>
      </c>
      <c r="P105" s="15">
        <f>IF(O105="","",O105*6)</f>
        <v/>
      </c>
      <c r="Q105" s="16">
        <f>IF(P105="","",IF(R105="&lt;10k","Todavía no",IF(P105&lt;1500,"Todavía no",IF(P105&lt;3500,"Nivel 1","Nivel 2 o 3"))))</f>
        <v/>
      </c>
      <c r="R105" s="11" t="n"/>
      <c r="S105" s="11" t="n"/>
      <c r="T105" s="12" t="n"/>
      <c r="U105" s="11" t="n"/>
      <c r="V105" s="17" t="n"/>
    </row>
    <row r="106">
      <c r="A106" s="11" t="n"/>
      <c r="B106" s="11" t="n"/>
      <c r="C106" s="11" t="n"/>
      <c r="D106" s="11" t="n"/>
      <c r="E106" s="12" t="n"/>
      <c r="F106" s="12" t="n"/>
      <c r="G106" s="12" t="n"/>
      <c r="H106" s="11" t="n"/>
      <c r="I106" s="11" t="n"/>
      <c r="J106" s="13" t="n"/>
      <c r="K106" s="13" t="n"/>
      <c r="L106" s="14" t="n"/>
      <c r="M106" s="11" t="n"/>
      <c r="N106" s="14" t="n"/>
      <c r="O106" s="15">
        <f>IF(COUNT(I106:L106)+COUNT(M106:N106)=0,"",IFERROR(I106*J106*K106*L106,0)+IFERROR(M106*4.3*N106,0))</f>
        <v/>
      </c>
      <c r="P106" s="15">
        <f>IF(O106="","",O106*6)</f>
        <v/>
      </c>
      <c r="Q106" s="16">
        <f>IF(P106="","",IF(R106="&lt;10k","Todavía no",IF(P106&lt;1500,"Todavía no",IF(P106&lt;3500,"Nivel 1","Nivel 2 o 3"))))</f>
        <v/>
      </c>
      <c r="R106" s="11" t="n"/>
      <c r="S106" s="11" t="n"/>
      <c r="T106" s="12" t="n"/>
      <c r="U106" s="11" t="n"/>
      <c r="V106" s="17" t="n"/>
    </row>
    <row r="107">
      <c r="A107" s="11" t="n"/>
      <c r="B107" s="11" t="n"/>
      <c r="C107" s="11" t="n"/>
      <c r="D107" s="11" t="n"/>
      <c r="E107" s="12" t="n"/>
      <c r="F107" s="12" t="n"/>
      <c r="G107" s="12" t="n"/>
      <c r="H107" s="11" t="n"/>
      <c r="I107" s="11" t="n"/>
      <c r="J107" s="13" t="n"/>
      <c r="K107" s="13" t="n"/>
      <c r="L107" s="14" t="n"/>
      <c r="M107" s="11" t="n"/>
      <c r="N107" s="14" t="n"/>
      <c r="O107" s="15">
        <f>IF(COUNT(I107:L107)+COUNT(M107:N107)=0,"",IFERROR(I107*J107*K107*L107,0)+IFERROR(M107*4.3*N107,0))</f>
        <v/>
      </c>
      <c r="P107" s="15">
        <f>IF(O107="","",O107*6)</f>
        <v/>
      </c>
      <c r="Q107" s="16">
        <f>IF(P107="","",IF(R107="&lt;10k","Todavía no",IF(P107&lt;1500,"Todavía no",IF(P107&lt;3500,"Nivel 1","Nivel 2 o 3"))))</f>
        <v/>
      </c>
      <c r="R107" s="11" t="n"/>
      <c r="S107" s="11" t="n"/>
      <c r="T107" s="12" t="n"/>
      <c r="U107" s="11" t="n"/>
      <c r="V107" s="17" t="n"/>
    </row>
    <row r="108">
      <c r="A108" s="11" t="n"/>
      <c r="B108" s="11" t="n"/>
      <c r="C108" s="11" t="n"/>
      <c r="D108" s="11" t="n"/>
      <c r="E108" s="12" t="n"/>
      <c r="F108" s="12" t="n"/>
      <c r="G108" s="12" t="n"/>
      <c r="H108" s="11" t="n"/>
      <c r="I108" s="11" t="n"/>
      <c r="J108" s="13" t="n"/>
      <c r="K108" s="13" t="n"/>
      <c r="L108" s="14" t="n"/>
      <c r="M108" s="11" t="n"/>
      <c r="N108" s="14" t="n"/>
      <c r="O108" s="15">
        <f>IF(COUNT(I108:L108)+COUNT(M108:N108)=0,"",IFERROR(I108*J108*K108*L108,0)+IFERROR(M108*4.3*N108,0))</f>
        <v/>
      </c>
      <c r="P108" s="15">
        <f>IF(O108="","",O108*6)</f>
        <v/>
      </c>
      <c r="Q108" s="16">
        <f>IF(P108="","",IF(R108="&lt;10k","Todavía no",IF(P108&lt;1500,"Todavía no",IF(P108&lt;3500,"Nivel 1","Nivel 2 o 3"))))</f>
        <v/>
      </c>
      <c r="R108" s="11" t="n"/>
      <c r="S108" s="11" t="n"/>
      <c r="T108" s="12" t="n"/>
      <c r="U108" s="11" t="n"/>
      <c r="V108" s="17" t="n"/>
    </row>
    <row r="109">
      <c r="A109" s="11" t="n"/>
      <c r="B109" s="11" t="n"/>
      <c r="C109" s="11" t="n"/>
      <c r="D109" s="11" t="n"/>
      <c r="E109" s="12" t="n"/>
      <c r="F109" s="12" t="n"/>
      <c r="G109" s="12" t="n"/>
      <c r="H109" s="11" t="n"/>
      <c r="I109" s="11" t="n"/>
      <c r="J109" s="13" t="n"/>
      <c r="K109" s="13" t="n"/>
      <c r="L109" s="14" t="n"/>
      <c r="M109" s="11" t="n"/>
      <c r="N109" s="14" t="n"/>
      <c r="O109" s="15">
        <f>IF(COUNT(I109:L109)+COUNT(M109:N109)=0,"",IFERROR(I109*J109*K109*L109,0)+IFERROR(M109*4.3*N109,0))</f>
        <v/>
      </c>
      <c r="P109" s="15">
        <f>IF(O109="","",O109*6)</f>
        <v/>
      </c>
      <c r="Q109" s="16">
        <f>IF(P109="","",IF(R109="&lt;10k","Todavía no",IF(P109&lt;1500,"Todavía no",IF(P109&lt;3500,"Nivel 1","Nivel 2 o 3"))))</f>
        <v/>
      </c>
      <c r="R109" s="11" t="n"/>
      <c r="S109" s="11" t="n"/>
      <c r="T109" s="12" t="n"/>
      <c r="U109" s="11" t="n"/>
      <c r="V109" s="17" t="n"/>
    </row>
    <row r="110">
      <c r="A110" s="11" t="n"/>
      <c r="B110" s="11" t="n"/>
      <c r="C110" s="11" t="n"/>
      <c r="D110" s="11" t="n"/>
      <c r="E110" s="12" t="n"/>
      <c r="F110" s="12" t="n"/>
      <c r="G110" s="12" t="n"/>
      <c r="H110" s="11" t="n"/>
      <c r="I110" s="11" t="n"/>
      <c r="J110" s="13" t="n"/>
      <c r="K110" s="13" t="n"/>
      <c r="L110" s="14" t="n"/>
      <c r="M110" s="11" t="n"/>
      <c r="N110" s="14" t="n"/>
      <c r="O110" s="15">
        <f>IF(COUNT(I110:L110)+COUNT(M110:N110)=0,"",IFERROR(I110*J110*K110*L110,0)+IFERROR(M110*4.3*N110,0))</f>
        <v/>
      </c>
      <c r="P110" s="15">
        <f>IF(O110="","",O110*6)</f>
        <v/>
      </c>
      <c r="Q110" s="16">
        <f>IF(P110="","",IF(R110="&lt;10k","Todavía no",IF(P110&lt;1500,"Todavía no",IF(P110&lt;3500,"Nivel 1","Nivel 2 o 3"))))</f>
        <v/>
      </c>
      <c r="R110" s="11" t="n"/>
      <c r="S110" s="11" t="n"/>
      <c r="T110" s="12" t="n"/>
      <c r="U110" s="11" t="n"/>
      <c r="V110" s="17" t="n"/>
    </row>
    <row r="111">
      <c r="A111" s="11" t="n"/>
      <c r="B111" s="11" t="n"/>
      <c r="C111" s="11" t="n"/>
      <c r="D111" s="11" t="n"/>
      <c r="E111" s="12" t="n"/>
      <c r="F111" s="12" t="n"/>
      <c r="G111" s="12" t="n"/>
      <c r="H111" s="11" t="n"/>
      <c r="I111" s="11" t="n"/>
      <c r="J111" s="13" t="n"/>
      <c r="K111" s="13" t="n"/>
      <c r="L111" s="14" t="n"/>
      <c r="M111" s="11" t="n"/>
      <c r="N111" s="14" t="n"/>
      <c r="O111" s="15">
        <f>IF(COUNT(I111:L111)+COUNT(M111:N111)=0,"",IFERROR(I111*J111*K111*L111,0)+IFERROR(M111*4.3*N111,0))</f>
        <v/>
      </c>
      <c r="P111" s="15">
        <f>IF(O111="","",O111*6)</f>
        <v/>
      </c>
      <c r="Q111" s="16">
        <f>IF(P111="","",IF(R111="&lt;10k","Todavía no",IF(P111&lt;1500,"Todavía no",IF(P111&lt;3500,"Nivel 1","Nivel 2 o 3"))))</f>
        <v/>
      </c>
      <c r="R111" s="11" t="n"/>
      <c r="S111" s="11" t="n"/>
      <c r="T111" s="12" t="n"/>
      <c r="U111" s="11" t="n"/>
      <c r="V111" s="17" t="n"/>
    </row>
    <row r="112">
      <c r="A112" s="11" t="n"/>
      <c r="B112" s="11" t="n"/>
      <c r="C112" s="11" t="n"/>
      <c r="D112" s="11" t="n"/>
      <c r="E112" s="12" t="n"/>
      <c r="F112" s="12" t="n"/>
      <c r="G112" s="12" t="n"/>
      <c r="H112" s="11" t="n"/>
      <c r="I112" s="11" t="n"/>
      <c r="J112" s="13" t="n"/>
      <c r="K112" s="13" t="n"/>
      <c r="L112" s="14" t="n"/>
      <c r="M112" s="11" t="n"/>
      <c r="N112" s="14" t="n"/>
      <c r="O112" s="15">
        <f>IF(COUNT(I112:L112)+COUNT(M112:N112)=0,"",IFERROR(I112*J112*K112*L112,0)+IFERROR(M112*4.3*N112,0))</f>
        <v/>
      </c>
      <c r="P112" s="15">
        <f>IF(O112="","",O112*6)</f>
        <v/>
      </c>
      <c r="Q112" s="16">
        <f>IF(P112="","",IF(R112="&lt;10k","Todavía no",IF(P112&lt;1500,"Todavía no",IF(P112&lt;3500,"Nivel 1","Nivel 2 o 3"))))</f>
        <v/>
      </c>
      <c r="R112" s="11" t="n"/>
      <c r="S112" s="11" t="n"/>
      <c r="T112" s="12" t="n"/>
      <c r="U112" s="11" t="n"/>
      <c r="V112" s="17" t="n"/>
    </row>
    <row r="113">
      <c r="A113" s="11" t="n"/>
      <c r="B113" s="11" t="n"/>
      <c r="C113" s="11" t="n"/>
      <c r="D113" s="11" t="n"/>
      <c r="E113" s="12" t="n"/>
      <c r="F113" s="12" t="n"/>
      <c r="G113" s="12" t="n"/>
      <c r="H113" s="11" t="n"/>
      <c r="I113" s="11" t="n"/>
      <c r="J113" s="13" t="n"/>
      <c r="K113" s="13" t="n"/>
      <c r="L113" s="14" t="n"/>
      <c r="M113" s="11" t="n"/>
      <c r="N113" s="14" t="n"/>
      <c r="O113" s="15">
        <f>IF(COUNT(I113:L113)+COUNT(M113:N113)=0,"",IFERROR(I113*J113*K113*L113,0)+IFERROR(M113*4.3*N113,0))</f>
        <v/>
      </c>
      <c r="P113" s="15">
        <f>IF(O113="","",O113*6)</f>
        <v/>
      </c>
      <c r="Q113" s="16">
        <f>IF(P113="","",IF(R113="&lt;10k","Todavía no",IF(P113&lt;1500,"Todavía no",IF(P113&lt;3500,"Nivel 1","Nivel 2 o 3"))))</f>
        <v/>
      </c>
      <c r="R113" s="11" t="n"/>
      <c r="S113" s="11" t="n"/>
      <c r="T113" s="12" t="n"/>
      <c r="U113" s="11" t="n"/>
      <c r="V113" s="17" t="n"/>
    </row>
    <row r="114">
      <c r="A114" s="11" t="n"/>
      <c r="B114" s="11" t="n"/>
      <c r="C114" s="11" t="n"/>
      <c r="D114" s="11" t="n"/>
      <c r="E114" s="12" t="n"/>
      <c r="F114" s="12" t="n"/>
      <c r="G114" s="12" t="n"/>
      <c r="H114" s="11" t="n"/>
      <c r="I114" s="11" t="n"/>
      <c r="J114" s="13" t="n"/>
      <c r="K114" s="13" t="n"/>
      <c r="L114" s="14" t="n"/>
      <c r="M114" s="11" t="n"/>
      <c r="N114" s="14" t="n"/>
      <c r="O114" s="15">
        <f>IF(COUNT(I114:L114)+COUNT(M114:N114)=0,"",IFERROR(I114*J114*K114*L114,0)+IFERROR(M114*4.3*N114,0))</f>
        <v/>
      </c>
      <c r="P114" s="15">
        <f>IF(O114="","",O114*6)</f>
        <v/>
      </c>
      <c r="Q114" s="16">
        <f>IF(P114="","",IF(R114="&lt;10k","Todavía no",IF(P114&lt;1500,"Todavía no",IF(P114&lt;3500,"Nivel 1","Nivel 2 o 3"))))</f>
        <v/>
      </c>
      <c r="R114" s="11" t="n"/>
      <c r="S114" s="11" t="n"/>
      <c r="T114" s="12" t="n"/>
      <c r="U114" s="11" t="n"/>
      <c r="V114" s="17" t="n"/>
    </row>
    <row r="115">
      <c r="A115" s="11" t="n"/>
      <c r="B115" s="11" t="n"/>
      <c r="C115" s="11" t="n"/>
      <c r="D115" s="11" t="n"/>
      <c r="E115" s="12" t="n"/>
      <c r="F115" s="12" t="n"/>
      <c r="G115" s="12" t="n"/>
      <c r="H115" s="11" t="n"/>
      <c r="I115" s="11" t="n"/>
      <c r="J115" s="13" t="n"/>
      <c r="K115" s="13" t="n"/>
      <c r="L115" s="14" t="n"/>
      <c r="M115" s="11" t="n"/>
      <c r="N115" s="14" t="n"/>
      <c r="O115" s="15">
        <f>IF(COUNT(I115:L115)+COUNT(M115:N115)=0,"",IFERROR(I115*J115*K115*L115,0)+IFERROR(M115*4.3*N115,0))</f>
        <v/>
      </c>
      <c r="P115" s="15">
        <f>IF(O115="","",O115*6)</f>
        <v/>
      </c>
      <c r="Q115" s="16">
        <f>IF(P115="","",IF(R115="&lt;10k","Todavía no",IF(P115&lt;1500,"Todavía no",IF(P115&lt;3500,"Nivel 1","Nivel 2 o 3"))))</f>
        <v/>
      </c>
      <c r="R115" s="11" t="n"/>
      <c r="S115" s="11" t="n"/>
      <c r="T115" s="12" t="n"/>
      <c r="U115" s="11" t="n"/>
      <c r="V115" s="17" t="n"/>
    </row>
    <row r="116">
      <c r="A116" s="11" t="n"/>
      <c r="B116" s="11" t="n"/>
      <c r="C116" s="11" t="n"/>
      <c r="D116" s="11" t="n"/>
      <c r="E116" s="12" t="n"/>
      <c r="F116" s="12" t="n"/>
      <c r="G116" s="12" t="n"/>
      <c r="H116" s="11" t="n"/>
      <c r="I116" s="11" t="n"/>
      <c r="J116" s="13" t="n"/>
      <c r="K116" s="13" t="n"/>
      <c r="L116" s="14" t="n"/>
      <c r="M116" s="11" t="n"/>
      <c r="N116" s="14" t="n"/>
      <c r="O116" s="15">
        <f>IF(COUNT(I116:L116)+COUNT(M116:N116)=0,"",IFERROR(I116*J116*K116*L116,0)+IFERROR(M116*4.3*N116,0))</f>
        <v/>
      </c>
      <c r="P116" s="15">
        <f>IF(O116="","",O116*6)</f>
        <v/>
      </c>
      <c r="Q116" s="16">
        <f>IF(P116="","",IF(R116="&lt;10k","Todavía no",IF(P116&lt;1500,"Todavía no",IF(P116&lt;3500,"Nivel 1","Nivel 2 o 3"))))</f>
        <v/>
      </c>
      <c r="R116" s="11" t="n"/>
      <c r="S116" s="11" t="n"/>
      <c r="T116" s="12" t="n"/>
      <c r="U116" s="11" t="n"/>
      <c r="V116" s="17" t="n"/>
    </row>
    <row r="117">
      <c r="A117" s="11" t="n"/>
      <c r="B117" s="11" t="n"/>
      <c r="C117" s="11" t="n"/>
      <c r="D117" s="11" t="n"/>
      <c r="E117" s="12" t="n"/>
      <c r="F117" s="12" t="n"/>
      <c r="G117" s="12" t="n"/>
      <c r="H117" s="11" t="n"/>
      <c r="I117" s="11" t="n"/>
      <c r="J117" s="13" t="n"/>
      <c r="K117" s="13" t="n"/>
      <c r="L117" s="14" t="n"/>
      <c r="M117" s="11" t="n"/>
      <c r="N117" s="14" t="n"/>
      <c r="O117" s="15">
        <f>IF(COUNT(I117:L117)+COUNT(M117:N117)=0,"",IFERROR(I117*J117*K117*L117,0)+IFERROR(M117*4.3*N117,0))</f>
        <v/>
      </c>
      <c r="P117" s="15">
        <f>IF(O117="","",O117*6)</f>
        <v/>
      </c>
      <c r="Q117" s="16">
        <f>IF(P117="","",IF(R117="&lt;10k","Todavía no",IF(P117&lt;1500,"Todavía no",IF(P117&lt;3500,"Nivel 1","Nivel 2 o 3"))))</f>
        <v/>
      </c>
      <c r="R117" s="11" t="n"/>
      <c r="S117" s="11" t="n"/>
      <c r="T117" s="12" t="n"/>
      <c r="U117" s="11" t="n"/>
      <c r="V117" s="17" t="n"/>
    </row>
    <row r="118">
      <c r="A118" s="11" t="n"/>
      <c r="B118" s="11" t="n"/>
      <c r="C118" s="11" t="n"/>
      <c r="D118" s="11" t="n"/>
      <c r="E118" s="12" t="n"/>
      <c r="F118" s="12" t="n"/>
      <c r="G118" s="12" t="n"/>
      <c r="H118" s="11" t="n"/>
      <c r="I118" s="11" t="n"/>
      <c r="J118" s="13" t="n"/>
      <c r="K118" s="13" t="n"/>
      <c r="L118" s="14" t="n"/>
      <c r="M118" s="11" t="n"/>
      <c r="N118" s="14" t="n"/>
      <c r="O118" s="15">
        <f>IF(COUNT(I118:L118)+COUNT(M118:N118)=0,"",IFERROR(I118*J118*K118*L118,0)+IFERROR(M118*4.3*N118,0))</f>
        <v/>
      </c>
      <c r="P118" s="15">
        <f>IF(O118="","",O118*6)</f>
        <v/>
      </c>
      <c r="Q118" s="16">
        <f>IF(P118="","",IF(R118="&lt;10k","Todavía no",IF(P118&lt;1500,"Todavía no",IF(P118&lt;3500,"Nivel 1","Nivel 2 o 3"))))</f>
        <v/>
      </c>
      <c r="R118" s="11" t="n"/>
      <c r="S118" s="11" t="n"/>
      <c r="T118" s="12" t="n"/>
      <c r="U118" s="11" t="n"/>
      <c r="V118" s="17" t="n"/>
    </row>
    <row r="119">
      <c r="A119" s="11" t="n"/>
      <c r="B119" s="11" t="n"/>
      <c r="C119" s="11" t="n"/>
      <c r="D119" s="11" t="n"/>
      <c r="E119" s="12" t="n"/>
      <c r="F119" s="12" t="n"/>
      <c r="G119" s="12" t="n"/>
      <c r="H119" s="11" t="n"/>
      <c r="I119" s="11" t="n"/>
      <c r="J119" s="13" t="n"/>
      <c r="K119" s="13" t="n"/>
      <c r="L119" s="14" t="n"/>
      <c r="M119" s="11" t="n"/>
      <c r="N119" s="14" t="n"/>
      <c r="O119" s="15">
        <f>IF(COUNT(I119:L119)+COUNT(M119:N119)=0,"",IFERROR(I119*J119*K119*L119,0)+IFERROR(M119*4.3*N119,0))</f>
        <v/>
      </c>
      <c r="P119" s="15">
        <f>IF(O119="","",O119*6)</f>
        <v/>
      </c>
      <c r="Q119" s="16">
        <f>IF(P119="","",IF(R119="&lt;10k","Todavía no",IF(P119&lt;1500,"Todavía no",IF(P119&lt;3500,"Nivel 1","Nivel 2 o 3"))))</f>
        <v/>
      </c>
      <c r="R119" s="11" t="n"/>
      <c r="S119" s="11" t="n"/>
      <c r="T119" s="12" t="n"/>
      <c r="U119" s="11" t="n"/>
      <c r="V119" s="17" t="n"/>
    </row>
    <row r="120">
      <c r="A120" s="11" t="n"/>
      <c r="B120" s="11" t="n"/>
      <c r="C120" s="11" t="n"/>
      <c r="D120" s="11" t="n"/>
      <c r="E120" s="12" t="n"/>
      <c r="F120" s="12" t="n"/>
      <c r="G120" s="12" t="n"/>
      <c r="H120" s="11" t="n"/>
      <c r="I120" s="11" t="n"/>
      <c r="J120" s="13" t="n"/>
      <c r="K120" s="13" t="n"/>
      <c r="L120" s="14" t="n"/>
      <c r="M120" s="11" t="n"/>
      <c r="N120" s="14" t="n"/>
      <c r="O120" s="15">
        <f>IF(COUNT(I120:L120)+COUNT(M120:N120)=0,"",IFERROR(I120*J120*K120*L120,0)+IFERROR(M120*4.3*N120,0))</f>
        <v/>
      </c>
      <c r="P120" s="15">
        <f>IF(O120="","",O120*6)</f>
        <v/>
      </c>
      <c r="Q120" s="16">
        <f>IF(P120="","",IF(R120="&lt;10k","Todavía no",IF(P120&lt;1500,"Todavía no",IF(P120&lt;3500,"Nivel 1","Nivel 2 o 3"))))</f>
        <v/>
      </c>
      <c r="R120" s="11" t="n"/>
      <c r="S120" s="11" t="n"/>
      <c r="T120" s="12" t="n"/>
      <c r="U120" s="11" t="n"/>
      <c r="V120" s="17" t="n"/>
    </row>
    <row r="121">
      <c r="A121" s="11" t="n"/>
      <c r="B121" s="11" t="n"/>
      <c r="C121" s="11" t="n"/>
      <c r="D121" s="11" t="n"/>
      <c r="E121" s="12" t="n"/>
      <c r="F121" s="12" t="n"/>
      <c r="G121" s="12" t="n"/>
      <c r="H121" s="11" t="n"/>
      <c r="I121" s="11" t="n"/>
      <c r="J121" s="13" t="n"/>
      <c r="K121" s="13" t="n"/>
      <c r="L121" s="14" t="n"/>
      <c r="M121" s="11" t="n"/>
      <c r="N121" s="14" t="n"/>
      <c r="O121" s="15">
        <f>IF(COUNT(I121:L121)+COUNT(M121:N121)=0,"",IFERROR(I121*J121*K121*L121,0)+IFERROR(M121*4.3*N121,0))</f>
        <v/>
      </c>
      <c r="P121" s="15">
        <f>IF(O121="","",O121*6)</f>
        <v/>
      </c>
      <c r="Q121" s="16">
        <f>IF(P121="","",IF(R121="&lt;10k","Todavía no",IF(P121&lt;1500,"Todavía no",IF(P121&lt;3500,"Nivel 1","Nivel 2 o 3"))))</f>
        <v/>
      </c>
      <c r="R121" s="11" t="n"/>
      <c r="S121" s="11" t="n"/>
      <c r="T121" s="12" t="n"/>
      <c r="U121" s="11" t="n"/>
      <c r="V121" s="17" t="n"/>
    </row>
    <row r="122">
      <c r="A122" s="11" t="n"/>
      <c r="B122" s="11" t="n"/>
      <c r="C122" s="11" t="n"/>
      <c r="D122" s="11" t="n"/>
      <c r="E122" s="12" t="n"/>
      <c r="F122" s="12" t="n"/>
      <c r="G122" s="12" t="n"/>
      <c r="H122" s="11" t="n"/>
      <c r="I122" s="11" t="n"/>
      <c r="J122" s="13" t="n"/>
      <c r="K122" s="13" t="n"/>
      <c r="L122" s="14" t="n"/>
      <c r="M122" s="11" t="n"/>
      <c r="N122" s="14" t="n"/>
      <c r="O122" s="15">
        <f>IF(COUNT(I122:L122)+COUNT(M122:N122)=0,"",IFERROR(I122*J122*K122*L122,0)+IFERROR(M122*4.3*N122,0))</f>
        <v/>
      </c>
      <c r="P122" s="15">
        <f>IF(O122="","",O122*6)</f>
        <v/>
      </c>
      <c r="Q122" s="16">
        <f>IF(P122="","",IF(R122="&lt;10k","Todavía no",IF(P122&lt;1500,"Todavía no",IF(P122&lt;3500,"Nivel 1","Nivel 2 o 3"))))</f>
        <v/>
      </c>
      <c r="R122" s="11" t="n"/>
      <c r="S122" s="11" t="n"/>
      <c r="T122" s="12" t="n"/>
      <c r="U122" s="11" t="n"/>
      <c r="V122" s="17" t="n"/>
    </row>
    <row r="123">
      <c r="A123" s="11" t="n"/>
      <c r="B123" s="11" t="n"/>
      <c r="C123" s="11" t="n"/>
      <c r="D123" s="11" t="n"/>
      <c r="E123" s="12" t="n"/>
      <c r="F123" s="12" t="n"/>
      <c r="G123" s="12" t="n"/>
      <c r="H123" s="11" t="n"/>
      <c r="I123" s="11" t="n"/>
      <c r="J123" s="13" t="n"/>
      <c r="K123" s="13" t="n"/>
      <c r="L123" s="14" t="n"/>
      <c r="M123" s="11" t="n"/>
      <c r="N123" s="14" t="n"/>
      <c r="O123" s="15">
        <f>IF(COUNT(I123:L123)+COUNT(M123:N123)=0,"",IFERROR(I123*J123*K123*L123,0)+IFERROR(M123*4.3*N123,0))</f>
        <v/>
      </c>
      <c r="P123" s="15">
        <f>IF(O123="","",O123*6)</f>
        <v/>
      </c>
      <c r="Q123" s="16">
        <f>IF(P123="","",IF(R123="&lt;10k","Todavía no",IF(P123&lt;1500,"Todavía no",IF(P123&lt;3500,"Nivel 1","Nivel 2 o 3"))))</f>
        <v/>
      </c>
      <c r="R123" s="11" t="n"/>
      <c r="S123" s="11" t="n"/>
      <c r="T123" s="12" t="n"/>
      <c r="U123" s="11" t="n"/>
      <c r="V123" s="17" t="n"/>
    </row>
    <row r="124">
      <c r="A124" s="11" t="n"/>
      <c r="B124" s="11" t="n"/>
      <c r="C124" s="11" t="n"/>
      <c r="D124" s="11" t="n"/>
      <c r="E124" s="12" t="n"/>
      <c r="F124" s="12" t="n"/>
      <c r="G124" s="12" t="n"/>
      <c r="H124" s="11" t="n"/>
      <c r="I124" s="11" t="n"/>
      <c r="J124" s="13" t="n"/>
      <c r="K124" s="13" t="n"/>
      <c r="L124" s="14" t="n"/>
      <c r="M124" s="11" t="n"/>
      <c r="N124" s="14" t="n"/>
      <c r="O124" s="15">
        <f>IF(COUNT(I124:L124)+COUNT(M124:N124)=0,"",IFERROR(I124*J124*K124*L124,0)+IFERROR(M124*4.3*N124,0))</f>
        <v/>
      </c>
      <c r="P124" s="15">
        <f>IF(O124="","",O124*6)</f>
        <v/>
      </c>
      <c r="Q124" s="16">
        <f>IF(P124="","",IF(R124="&lt;10k","Todavía no",IF(P124&lt;1500,"Todavía no",IF(P124&lt;3500,"Nivel 1","Nivel 2 o 3"))))</f>
        <v/>
      </c>
      <c r="R124" s="11" t="n"/>
      <c r="S124" s="11" t="n"/>
      <c r="T124" s="12" t="n"/>
      <c r="U124" s="11" t="n"/>
      <c r="V124" s="17" t="n"/>
    </row>
    <row r="125">
      <c r="A125" s="11" t="n"/>
      <c r="B125" s="11" t="n"/>
      <c r="C125" s="11" t="n"/>
      <c r="D125" s="11" t="n"/>
      <c r="E125" s="12" t="n"/>
      <c r="F125" s="12" t="n"/>
      <c r="G125" s="12" t="n"/>
      <c r="H125" s="11" t="n"/>
      <c r="I125" s="11" t="n"/>
      <c r="J125" s="13" t="n"/>
      <c r="K125" s="13" t="n"/>
      <c r="L125" s="14" t="n"/>
      <c r="M125" s="11" t="n"/>
      <c r="N125" s="14" t="n"/>
      <c r="O125" s="15">
        <f>IF(COUNT(I125:L125)+COUNT(M125:N125)=0,"",IFERROR(I125*J125*K125*L125,0)+IFERROR(M125*4.3*N125,0))</f>
        <v/>
      </c>
      <c r="P125" s="15">
        <f>IF(O125="","",O125*6)</f>
        <v/>
      </c>
      <c r="Q125" s="16">
        <f>IF(P125="","",IF(R125="&lt;10k","Todavía no",IF(P125&lt;1500,"Todavía no",IF(P125&lt;3500,"Nivel 1","Nivel 2 o 3"))))</f>
        <v/>
      </c>
      <c r="R125" s="11" t="n"/>
      <c r="S125" s="11" t="n"/>
      <c r="T125" s="12" t="n"/>
      <c r="U125" s="11" t="n"/>
      <c r="V125" s="17" t="n"/>
    </row>
    <row r="126">
      <c r="A126" s="11" t="n"/>
      <c r="B126" s="11" t="n"/>
      <c r="C126" s="11" t="n"/>
      <c r="D126" s="11" t="n"/>
      <c r="E126" s="12" t="n"/>
      <c r="F126" s="12" t="n"/>
      <c r="G126" s="12" t="n"/>
      <c r="H126" s="11" t="n"/>
      <c r="I126" s="11" t="n"/>
      <c r="J126" s="13" t="n"/>
      <c r="K126" s="13" t="n"/>
      <c r="L126" s="14" t="n"/>
      <c r="M126" s="11" t="n"/>
      <c r="N126" s="14" t="n"/>
      <c r="O126" s="15">
        <f>IF(COUNT(I126:L126)+COUNT(M126:N126)=0,"",IFERROR(I126*J126*K126*L126,0)+IFERROR(M126*4.3*N126,0))</f>
        <v/>
      </c>
      <c r="P126" s="15">
        <f>IF(O126="","",O126*6)</f>
        <v/>
      </c>
      <c r="Q126" s="16">
        <f>IF(P126="","",IF(R126="&lt;10k","Todavía no",IF(P126&lt;1500,"Todavía no",IF(P126&lt;3500,"Nivel 1","Nivel 2 o 3"))))</f>
        <v/>
      </c>
      <c r="R126" s="11" t="n"/>
      <c r="S126" s="11" t="n"/>
      <c r="T126" s="12" t="n"/>
      <c r="U126" s="11" t="n"/>
      <c r="V126" s="17" t="n"/>
    </row>
    <row r="127">
      <c r="A127" s="11" t="n"/>
      <c r="B127" s="11" t="n"/>
      <c r="C127" s="11" t="n"/>
      <c r="D127" s="11" t="n"/>
      <c r="E127" s="12" t="n"/>
      <c r="F127" s="12" t="n"/>
      <c r="G127" s="12" t="n"/>
      <c r="H127" s="11" t="n"/>
      <c r="I127" s="11" t="n"/>
      <c r="J127" s="13" t="n"/>
      <c r="K127" s="13" t="n"/>
      <c r="L127" s="14" t="n"/>
      <c r="M127" s="11" t="n"/>
      <c r="N127" s="14" t="n"/>
      <c r="O127" s="15">
        <f>IF(COUNT(I127:L127)+COUNT(M127:N127)=0,"",IFERROR(I127*J127*K127*L127,0)+IFERROR(M127*4.3*N127,0))</f>
        <v/>
      </c>
      <c r="P127" s="15">
        <f>IF(O127="","",O127*6)</f>
        <v/>
      </c>
      <c r="Q127" s="16">
        <f>IF(P127="","",IF(R127="&lt;10k","Todavía no",IF(P127&lt;1500,"Todavía no",IF(P127&lt;3500,"Nivel 1","Nivel 2 o 3"))))</f>
        <v/>
      </c>
      <c r="R127" s="11" t="n"/>
      <c r="S127" s="11" t="n"/>
      <c r="T127" s="12" t="n"/>
      <c r="U127" s="11" t="n"/>
      <c r="V127" s="17" t="n"/>
    </row>
    <row r="128">
      <c r="A128" s="11" t="n"/>
      <c r="B128" s="11" t="n"/>
      <c r="C128" s="11" t="n"/>
      <c r="D128" s="11" t="n"/>
      <c r="E128" s="12" t="n"/>
      <c r="F128" s="12" t="n"/>
      <c r="G128" s="12" t="n"/>
      <c r="H128" s="11" t="n"/>
      <c r="I128" s="11" t="n"/>
      <c r="J128" s="13" t="n"/>
      <c r="K128" s="13" t="n"/>
      <c r="L128" s="14" t="n"/>
      <c r="M128" s="11" t="n"/>
      <c r="N128" s="14" t="n"/>
      <c r="O128" s="15">
        <f>IF(COUNT(I128:L128)+COUNT(M128:N128)=0,"",IFERROR(I128*J128*K128*L128,0)+IFERROR(M128*4.3*N128,0))</f>
        <v/>
      </c>
      <c r="P128" s="15">
        <f>IF(O128="","",O128*6)</f>
        <v/>
      </c>
      <c r="Q128" s="16">
        <f>IF(P128="","",IF(R128="&lt;10k","Todavía no",IF(P128&lt;1500,"Todavía no",IF(P128&lt;3500,"Nivel 1","Nivel 2 o 3"))))</f>
        <v/>
      </c>
      <c r="R128" s="11" t="n"/>
      <c r="S128" s="11" t="n"/>
      <c r="T128" s="12" t="n"/>
      <c r="U128" s="11" t="n"/>
      <c r="V128" s="17" t="n"/>
    </row>
    <row r="129">
      <c r="A129" s="11" t="n"/>
      <c r="B129" s="11" t="n"/>
      <c r="C129" s="11" t="n"/>
      <c r="D129" s="11" t="n"/>
      <c r="E129" s="12" t="n"/>
      <c r="F129" s="12" t="n"/>
      <c r="G129" s="12" t="n"/>
      <c r="H129" s="11" t="n"/>
      <c r="I129" s="11" t="n"/>
      <c r="J129" s="13" t="n"/>
      <c r="K129" s="13" t="n"/>
      <c r="L129" s="14" t="n"/>
      <c r="M129" s="11" t="n"/>
      <c r="N129" s="14" t="n"/>
      <c r="O129" s="15">
        <f>IF(COUNT(I129:L129)+COUNT(M129:N129)=0,"",IFERROR(I129*J129*K129*L129,0)+IFERROR(M129*4.3*N129,0))</f>
        <v/>
      </c>
      <c r="P129" s="15">
        <f>IF(O129="","",O129*6)</f>
        <v/>
      </c>
      <c r="Q129" s="16">
        <f>IF(P129="","",IF(R129="&lt;10k","Todavía no",IF(P129&lt;1500,"Todavía no",IF(P129&lt;3500,"Nivel 1","Nivel 2 o 3"))))</f>
        <v/>
      </c>
      <c r="R129" s="11" t="n"/>
      <c r="S129" s="11" t="n"/>
      <c r="T129" s="12" t="n"/>
      <c r="U129" s="11" t="n"/>
      <c r="V129" s="17" t="n"/>
    </row>
    <row r="130">
      <c r="A130" s="11" t="n"/>
      <c r="B130" s="11" t="n"/>
      <c r="C130" s="11" t="n"/>
      <c r="D130" s="11" t="n"/>
      <c r="E130" s="12" t="n"/>
      <c r="F130" s="12" t="n"/>
      <c r="G130" s="12" t="n"/>
      <c r="H130" s="11" t="n"/>
      <c r="I130" s="11" t="n"/>
      <c r="J130" s="13" t="n"/>
      <c r="K130" s="13" t="n"/>
      <c r="L130" s="14" t="n"/>
      <c r="M130" s="11" t="n"/>
      <c r="N130" s="14" t="n"/>
      <c r="O130" s="15">
        <f>IF(COUNT(I130:L130)+COUNT(M130:N130)=0,"",IFERROR(I130*J130*K130*L130,0)+IFERROR(M130*4.3*N130,0))</f>
        <v/>
      </c>
      <c r="P130" s="15">
        <f>IF(O130="","",O130*6)</f>
        <v/>
      </c>
      <c r="Q130" s="16">
        <f>IF(P130="","",IF(R130="&lt;10k","Todavía no",IF(P130&lt;1500,"Todavía no",IF(P130&lt;3500,"Nivel 1","Nivel 2 o 3"))))</f>
        <v/>
      </c>
      <c r="R130" s="11" t="n"/>
      <c r="S130" s="11" t="n"/>
      <c r="T130" s="12" t="n"/>
      <c r="U130" s="11" t="n"/>
      <c r="V130" s="17" t="n"/>
    </row>
    <row r="131">
      <c r="A131" s="11" t="n"/>
      <c r="B131" s="11" t="n"/>
      <c r="C131" s="11" t="n"/>
      <c r="D131" s="11" t="n"/>
      <c r="E131" s="12" t="n"/>
      <c r="F131" s="12" t="n"/>
      <c r="G131" s="12" t="n"/>
      <c r="H131" s="11" t="n"/>
      <c r="I131" s="11" t="n"/>
      <c r="J131" s="13" t="n"/>
      <c r="K131" s="13" t="n"/>
      <c r="L131" s="14" t="n"/>
      <c r="M131" s="11" t="n"/>
      <c r="N131" s="14" t="n"/>
      <c r="O131" s="15">
        <f>IF(COUNT(I131:L131)+COUNT(M131:N131)=0,"",IFERROR(I131*J131*K131*L131,0)+IFERROR(M131*4.3*N131,0))</f>
        <v/>
      </c>
      <c r="P131" s="15">
        <f>IF(O131="","",O131*6)</f>
        <v/>
      </c>
      <c r="Q131" s="16">
        <f>IF(P131="","",IF(R131="&lt;10k","Todavía no",IF(P131&lt;1500,"Todavía no",IF(P131&lt;3500,"Nivel 1","Nivel 2 o 3"))))</f>
        <v/>
      </c>
      <c r="R131" s="11" t="n"/>
      <c r="S131" s="11" t="n"/>
      <c r="T131" s="12" t="n"/>
      <c r="U131" s="11" t="n"/>
      <c r="V131" s="17" t="n"/>
    </row>
    <row r="132">
      <c r="A132" s="11" t="n"/>
      <c r="B132" s="11" t="n"/>
      <c r="C132" s="11" t="n"/>
      <c r="D132" s="11" t="n"/>
      <c r="E132" s="12" t="n"/>
      <c r="F132" s="12" t="n"/>
      <c r="G132" s="12" t="n"/>
      <c r="H132" s="11" t="n"/>
      <c r="I132" s="11" t="n"/>
      <c r="J132" s="13" t="n"/>
      <c r="K132" s="13" t="n"/>
      <c r="L132" s="14" t="n"/>
      <c r="M132" s="11" t="n"/>
      <c r="N132" s="14" t="n"/>
      <c r="O132" s="15">
        <f>IF(COUNT(I132:L132)+COUNT(M132:N132)=0,"",IFERROR(I132*J132*K132*L132,0)+IFERROR(M132*4.3*N132,0))</f>
        <v/>
      </c>
      <c r="P132" s="15">
        <f>IF(O132="","",O132*6)</f>
        <v/>
      </c>
      <c r="Q132" s="16">
        <f>IF(P132="","",IF(R132="&lt;10k","Todavía no",IF(P132&lt;1500,"Todavía no",IF(P132&lt;3500,"Nivel 1","Nivel 2 o 3"))))</f>
        <v/>
      </c>
      <c r="R132" s="11" t="n"/>
      <c r="S132" s="11" t="n"/>
      <c r="T132" s="12" t="n"/>
      <c r="U132" s="11" t="n"/>
      <c r="V132" s="17" t="n"/>
    </row>
    <row r="133">
      <c r="A133" s="11" t="n"/>
      <c r="B133" s="11" t="n"/>
      <c r="C133" s="11" t="n"/>
      <c r="D133" s="11" t="n"/>
      <c r="E133" s="12" t="n"/>
      <c r="F133" s="12" t="n"/>
      <c r="G133" s="12" t="n"/>
      <c r="H133" s="11" t="n"/>
      <c r="I133" s="11" t="n"/>
      <c r="J133" s="13" t="n"/>
      <c r="K133" s="13" t="n"/>
      <c r="L133" s="14" t="n"/>
      <c r="M133" s="11" t="n"/>
      <c r="N133" s="14" t="n"/>
      <c r="O133" s="15">
        <f>IF(COUNT(I133:L133)+COUNT(M133:N133)=0,"",IFERROR(I133*J133*K133*L133,0)+IFERROR(M133*4.3*N133,0))</f>
        <v/>
      </c>
      <c r="P133" s="15">
        <f>IF(O133="","",O133*6)</f>
        <v/>
      </c>
      <c r="Q133" s="16">
        <f>IF(P133="","",IF(R133="&lt;10k","Todavía no",IF(P133&lt;1500,"Todavía no",IF(P133&lt;3500,"Nivel 1","Nivel 2 o 3"))))</f>
        <v/>
      </c>
      <c r="R133" s="11" t="n"/>
      <c r="S133" s="11" t="n"/>
      <c r="T133" s="12" t="n"/>
      <c r="U133" s="11" t="n"/>
      <c r="V133" s="17" t="n"/>
    </row>
    <row r="134">
      <c r="A134" s="11" t="n"/>
      <c r="B134" s="11" t="n"/>
      <c r="C134" s="11" t="n"/>
      <c r="D134" s="11" t="n"/>
      <c r="E134" s="12" t="n"/>
      <c r="F134" s="12" t="n"/>
      <c r="G134" s="12" t="n"/>
      <c r="H134" s="11" t="n"/>
      <c r="I134" s="11" t="n"/>
      <c r="J134" s="13" t="n"/>
      <c r="K134" s="13" t="n"/>
      <c r="L134" s="14" t="n"/>
      <c r="M134" s="11" t="n"/>
      <c r="N134" s="14" t="n"/>
      <c r="O134" s="15">
        <f>IF(COUNT(I134:L134)+COUNT(M134:N134)=0,"",IFERROR(I134*J134*K134*L134,0)+IFERROR(M134*4.3*N134,0))</f>
        <v/>
      </c>
      <c r="P134" s="15">
        <f>IF(O134="","",O134*6)</f>
        <v/>
      </c>
      <c r="Q134" s="16">
        <f>IF(P134="","",IF(R134="&lt;10k","Todavía no",IF(P134&lt;1500,"Todavía no",IF(P134&lt;3500,"Nivel 1","Nivel 2 o 3"))))</f>
        <v/>
      </c>
      <c r="R134" s="11" t="n"/>
      <c r="S134" s="11" t="n"/>
      <c r="T134" s="12" t="n"/>
      <c r="U134" s="11" t="n"/>
      <c r="V134" s="17" t="n"/>
    </row>
    <row r="135">
      <c r="A135" s="11" t="n"/>
      <c r="B135" s="11" t="n"/>
      <c r="C135" s="11" t="n"/>
      <c r="D135" s="11" t="n"/>
      <c r="E135" s="12" t="n"/>
      <c r="F135" s="12" t="n"/>
      <c r="G135" s="12" t="n"/>
      <c r="H135" s="11" t="n"/>
      <c r="I135" s="11" t="n"/>
      <c r="J135" s="13" t="n"/>
      <c r="K135" s="13" t="n"/>
      <c r="L135" s="14" t="n"/>
      <c r="M135" s="11" t="n"/>
      <c r="N135" s="14" t="n"/>
      <c r="O135" s="15">
        <f>IF(COUNT(I135:L135)+COUNT(M135:N135)=0,"",IFERROR(I135*J135*K135*L135,0)+IFERROR(M135*4.3*N135,0))</f>
        <v/>
      </c>
      <c r="P135" s="15">
        <f>IF(O135="","",O135*6)</f>
        <v/>
      </c>
      <c r="Q135" s="16">
        <f>IF(P135="","",IF(R135="&lt;10k","Todavía no",IF(P135&lt;1500,"Todavía no",IF(P135&lt;3500,"Nivel 1","Nivel 2 o 3"))))</f>
        <v/>
      </c>
      <c r="R135" s="11" t="n"/>
      <c r="S135" s="11" t="n"/>
      <c r="T135" s="12" t="n"/>
      <c r="U135" s="11" t="n"/>
      <c r="V135" s="17" t="n"/>
    </row>
    <row r="136">
      <c r="A136" s="11" t="n"/>
      <c r="B136" s="11" t="n"/>
      <c r="C136" s="11" t="n"/>
      <c r="D136" s="11" t="n"/>
      <c r="E136" s="12" t="n"/>
      <c r="F136" s="12" t="n"/>
      <c r="G136" s="12" t="n"/>
      <c r="H136" s="11" t="n"/>
      <c r="I136" s="11" t="n"/>
      <c r="J136" s="13" t="n"/>
      <c r="K136" s="13" t="n"/>
      <c r="L136" s="14" t="n"/>
      <c r="M136" s="11" t="n"/>
      <c r="N136" s="14" t="n"/>
      <c r="O136" s="15">
        <f>IF(COUNT(I136:L136)+COUNT(M136:N136)=0,"",IFERROR(I136*J136*K136*L136,0)+IFERROR(M136*4.3*N136,0))</f>
        <v/>
      </c>
      <c r="P136" s="15">
        <f>IF(O136="","",O136*6)</f>
        <v/>
      </c>
      <c r="Q136" s="16">
        <f>IF(P136="","",IF(R136="&lt;10k","Todavía no",IF(P136&lt;1500,"Todavía no",IF(P136&lt;3500,"Nivel 1","Nivel 2 o 3"))))</f>
        <v/>
      </c>
      <c r="R136" s="11" t="n"/>
      <c r="S136" s="11" t="n"/>
      <c r="T136" s="12" t="n"/>
      <c r="U136" s="11" t="n"/>
      <c r="V136" s="17" t="n"/>
    </row>
    <row r="137">
      <c r="A137" s="11" t="n"/>
      <c r="B137" s="11" t="n"/>
      <c r="C137" s="11" t="n"/>
      <c r="D137" s="11" t="n"/>
      <c r="E137" s="12" t="n"/>
      <c r="F137" s="12" t="n"/>
      <c r="G137" s="12" t="n"/>
      <c r="H137" s="11" t="n"/>
      <c r="I137" s="11" t="n"/>
      <c r="J137" s="13" t="n"/>
      <c r="K137" s="13" t="n"/>
      <c r="L137" s="14" t="n"/>
      <c r="M137" s="11" t="n"/>
      <c r="N137" s="14" t="n"/>
      <c r="O137" s="15">
        <f>IF(COUNT(I137:L137)+COUNT(M137:N137)=0,"",IFERROR(I137*J137*K137*L137,0)+IFERROR(M137*4.3*N137,0))</f>
        <v/>
      </c>
      <c r="P137" s="15">
        <f>IF(O137="","",O137*6)</f>
        <v/>
      </c>
      <c r="Q137" s="16">
        <f>IF(P137="","",IF(R137="&lt;10k","Todavía no",IF(P137&lt;1500,"Todavía no",IF(P137&lt;3500,"Nivel 1","Nivel 2 o 3"))))</f>
        <v/>
      </c>
      <c r="R137" s="11" t="n"/>
      <c r="S137" s="11" t="n"/>
      <c r="T137" s="12" t="n"/>
      <c r="U137" s="11" t="n"/>
      <c r="V137" s="17" t="n"/>
    </row>
    <row r="138">
      <c r="A138" s="11" t="n"/>
      <c r="B138" s="11" t="n"/>
      <c r="C138" s="11" t="n"/>
      <c r="D138" s="11" t="n"/>
      <c r="E138" s="12" t="n"/>
      <c r="F138" s="12" t="n"/>
      <c r="G138" s="12" t="n"/>
      <c r="H138" s="11" t="n"/>
      <c r="I138" s="11" t="n"/>
      <c r="J138" s="13" t="n"/>
      <c r="K138" s="13" t="n"/>
      <c r="L138" s="14" t="n"/>
      <c r="M138" s="11" t="n"/>
      <c r="N138" s="14" t="n"/>
      <c r="O138" s="15">
        <f>IF(COUNT(I138:L138)+COUNT(M138:N138)=0,"",IFERROR(I138*J138*K138*L138,0)+IFERROR(M138*4.3*N138,0))</f>
        <v/>
      </c>
      <c r="P138" s="15">
        <f>IF(O138="","",O138*6)</f>
        <v/>
      </c>
      <c r="Q138" s="16">
        <f>IF(P138="","",IF(R138="&lt;10k","Todavía no",IF(P138&lt;1500,"Todavía no",IF(P138&lt;3500,"Nivel 1","Nivel 2 o 3"))))</f>
        <v/>
      </c>
      <c r="R138" s="11" t="n"/>
      <c r="S138" s="11" t="n"/>
      <c r="T138" s="12" t="n"/>
      <c r="U138" s="11" t="n"/>
      <c r="V138" s="17" t="n"/>
    </row>
    <row r="139">
      <c r="A139" s="11" t="n"/>
      <c r="B139" s="11" t="n"/>
      <c r="C139" s="11" t="n"/>
      <c r="D139" s="11" t="n"/>
      <c r="E139" s="12" t="n"/>
      <c r="F139" s="12" t="n"/>
      <c r="G139" s="12" t="n"/>
      <c r="H139" s="11" t="n"/>
      <c r="I139" s="11" t="n"/>
      <c r="J139" s="13" t="n"/>
      <c r="K139" s="13" t="n"/>
      <c r="L139" s="14" t="n"/>
      <c r="M139" s="11" t="n"/>
      <c r="N139" s="14" t="n"/>
      <c r="O139" s="15">
        <f>IF(COUNT(I139:L139)+COUNT(M139:N139)=0,"",IFERROR(I139*J139*K139*L139,0)+IFERROR(M139*4.3*N139,0))</f>
        <v/>
      </c>
      <c r="P139" s="15">
        <f>IF(O139="","",O139*6)</f>
        <v/>
      </c>
      <c r="Q139" s="16">
        <f>IF(P139="","",IF(R139="&lt;10k","Todavía no",IF(P139&lt;1500,"Todavía no",IF(P139&lt;3500,"Nivel 1","Nivel 2 o 3"))))</f>
        <v/>
      </c>
      <c r="R139" s="11" t="n"/>
      <c r="S139" s="11" t="n"/>
      <c r="T139" s="12" t="n"/>
      <c r="U139" s="11" t="n"/>
      <c r="V139" s="17" t="n"/>
    </row>
    <row r="140">
      <c r="A140" s="11" t="n"/>
      <c r="B140" s="11" t="n"/>
      <c r="C140" s="11" t="n"/>
      <c r="D140" s="11" t="n"/>
      <c r="E140" s="12" t="n"/>
      <c r="F140" s="12" t="n"/>
      <c r="G140" s="12" t="n"/>
      <c r="H140" s="11" t="n"/>
      <c r="I140" s="11" t="n"/>
      <c r="J140" s="13" t="n"/>
      <c r="K140" s="13" t="n"/>
      <c r="L140" s="14" t="n"/>
      <c r="M140" s="11" t="n"/>
      <c r="N140" s="14" t="n"/>
      <c r="O140" s="15">
        <f>IF(COUNT(I140:L140)+COUNT(M140:N140)=0,"",IFERROR(I140*J140*K140*L140,0)+IFERROR(M140*4.3*N140,0))</f>
        <v/>
      </c>
      <c r="P140" s="15">
        <f>IF(O140="","",O140*6)</f>
        <v/>
      </c>
      <c r="Q140" s="16">
        <f>IF(P140="","",IF(R140="&lt;10k","Todavía no",IF(P140&lt;1500,"Todavía no",IF(P140&lt;3500,"Nivel 1","Nivel 2 o 3"))))</f>
        <v/>
      </c>
      <c r="R140" s="11" t="n"/>
      <c r="S140" s="11" t="n"/>
      <c r="T140" s="12" t="n"/>
      <c r="U140" s="11" t="n"/>
      <c r="V140" s="17" t="n"/>
    </row>
    <row r="141">
      <c r="A141" s="11" t="n"/>
      <c r="B141" s="11" t="n"/>
      <c r="C141" s="11" t="n"/>
      <c r="D141" s="11" t="n"/>
      <c r="E141" s="12" t="n"/>
      <c r="F141" s="12" t="n"/>
      <c r="G141" s="12" t="n"/>
      <c r="H141" s="11" t="n"/>
      <c r="I141" s="11" t="n"/>
      <c r="J141" s="13" t="n"/>
      <c r="K141" s="13" t="n"/>
      <c r="L141" s="14" t="n"/>
      <c r="M141" s="11" t="n"/>
      <c r="N141" s="14" t="n"/>
      <c r="O141" s="15">
        <f>IF(COUNT(I141:L141)+COUNT(M141:N141)=0,"",IFERROR(I141*J141*K141*L141,0)+IFERROR(M141*4.3*N141,0))</f>
        <v/>
      </c>
      <c r="P141" s="15">
        <f>IF(O141="","",O141*6)</f>
        <v/>
      </c>
      <c r="Q141" s="16">
        <f>IF(P141="","",IF(R141="&lt;10k","Todavía no",IF(P141&lt;1500,"Todavía no",IF(P141&lt;3500,"Nivel 1","Nivel 2 o 3"))))</f>
        <v/>
      </c>
      <c r="R141" s="11" t="n"/>
      <c r="S141" s="11" t="n"/>
      <c r="T141" s="12" t="n"/>
      <c r="U141" s="11" t="n"/>
      <c r="V141" s="17" t="n"/>
    </row>
    <row r="142">
      <c r="A142" s="11" t="n"/>
      <c r="B142" s="11" t="n"/>
      <c r="C142" s="11" t="n"/>
      <c r="D142" s="11" t="n"/>
      <c r="E142" s="12" t="n"/>
      <c r="F142" s="12" t="n"/>
      <c r="G142" s="12" t="n"/>
      <c r="H142" s="11" t="n"/>
      <c r="I142" s="11" t="n"/>
      <c r="J142" s="13" t="n"/>
      <c r="K142" s="13" t="n"/>
      <c r="L142" s="14" t="n"/>
      <c r="M142" s="11" t="n"/>
      <c r="N142" s="14" t="n"/>
      <c r="O142" s="15">
        <f>IF(COUNT(I142:L142)+COUNT(M142:N142)=0,"",IFERROR(I142*J142*K142*L142,0)+IFERROR(M142*4.3*N142,0))</f>
        <v/>
      </c>
      <c r="P142" s="15">
        <f>IF(O142="","",O142*6)</f>
        <v/>
      </c>
      <c r="Q142" s="16">
        <f>IF(P142="","",IF(R142="&lt;10k","Todavía no",IF(P142&lt;1500,"Todavía no",IF(P142&lt;3500,"Nivel 1","Nivel 2 o 3"))))</f>
        <v/>
      </c>
      <c r="R142" s="11" t="n"/>
      <c r="S142" s="11" t="n"/>
      <c r="T142" s="12" t="n"/>
      <c r="U142" s="11" t="n"/>
      <c r="V142" s="17" t="n"/>
    </row>
    <row r="143">
      <c r="A143" s="11" t="n"/>
      <c r="B143" s="11" t="n"/>
      <c r="C143" s="11" t="n"/>
      <c r="D143" s="11" t="n"/>
      <c r="E143" s="12" t="n"/>
      <c r="F143" s="12" t="n"/>
      <c r="G143" s="12" t="n"/>
      <c r="H143" s="11" t="n"/>
      <c r="I143" s="11" t="n"/>
      <c r="J143" s="13" t="n"/>
      <c r="K143" s="13" t="n"/>
      <c r="L143" s="14" t="n"/>
      <c r="M143" s="11" t="n"/>
      <c r="N143" s="14" t="n"/>
      <c r="O143" s="15">
        <f>IF(COUNT(I143:L143)+COUNT(M143:N143)=0,"",IFERROR(I143*J143*K143*L143,0)+IFERROR(M143*4.3*N143,0))</f>
        <v/>
      </c>
      <c r="P143" s="15">
        <f>IF(O143="","",O143*6)</f>
        <v/>
      </c>
      <c r="Q143" s="16">
        <f>IF(P143="","",IF(R143="&lt;10k","Todavía no",IF(P143&lt;1500,"Todavía no",IF(P143&lt;3500,"Nivel 1","Nivel 2 o 3"))))</f>
        <v/>
      </c>
      <c r="R143" s="11" t="n"/>
      <c r="S143" s="11" t="n"/>
      <c r="T143" s="12" t="n"/>
      <c r="U143" s="11" t="n"/>
      <c r="V143" s="17" t="n"/>
    </row>
    <row r="144">
      <c r="A144" s="11" t="n"/>
      <c r="B144" s="11" t="n"/>
      <c r="C144" s="11" t="n"/>
      <c r="D144" s="11" t="n"/>
      <c r="E144" s="12" t="n"/>
      <c r="F144" s="12" t="n"/>
      <c r="G144" s="12" t="n"/>
      <c r="H144" s="11" t="n"/>
      <c r="I144" s="11" t="n"/>
      <c r="J144" s="13" t="n"/>
      <c r="K144" s="13" t="n"/>
      <c r="L144" s="14" t="n"/>
      <c r="M144" s="11" t="n"/>
      <c r="N144" s="14" t="n"/>
      <c r="O144" s="15">
        <f>IF(COUNT(I144:L144)+COUNT(M144:N144)=0,"",IFERROR(I144*J144*K144*L144,0)+IFERROR(M144*4.3*N144,0))</f>
        <v/>
      </c>
      <c r="P144" s="15">
        <f>IF(O144="","",O144*6)</f>
        <v/>
      </c>
      <c r="Q144" s="16">
        <f>IF(P144="","",IF(R144="&lt;10k","Todavía no",IF(P144&lt;1500,"Todavía no",IF(P144&lt;3500,"Nivel 1","Nivel 2 o 3"))))</f>
        <v/>
      </c>
      <c r="R144" s="11" t="n"/>
      <c r="S144" s="11" t="n"/>
      <c r="T144" s="12" t="n"/>
      <c r="U144" s="11" t="n"/>
      <c r="V144" s="17" t="n"/>
    </row>
    <row r="145">
      <c r="A145" s="11" t="n"/>
      <c r="B145" s="11" t="n"/>
      <c r="C145" s="11" t="n"/>
      <c r="D145" s="11" t="n"/>
      <c r="E145" s="12" t="n"/>
      <c r="F145" s="12" t="n"/>
      <c r="G145" s="12" t="n"/>
      <c r="H145" s="11" t="n"/>
      <c r="I145" s="11" t="n"/>
      <c r="J145" s="13" t="n"/>
      <c r="K145" s="13" t="n"/>
      <c r="L145" s="14" t="n"/>
      <c r="M145" s="11" t="n"/>
      <c r="N145" s="14" t="n"/>
      <c r="O145" s="15">
        <f>IF(COUNT(I145:L145)+COUNT(M145:N145)=0,"",IFERROR(I145*J145*K145*L145,0)+IFERROR(M145*4.3*N145,0))</f>
        <v/>
      </c>
      <c r="P145" s="15">
        <f>IF(O145="","",O145*6)</f>
        <v/>
      </c>
      <c r="Q145" s="16">
        <f>IF(P145="","",IF(R145="&lt;10k","Todavía no",IF(P145&lt;1500,"Todavía no",IF(P145&lt;3500,"Nivel 1","Nivel 2 o 3"))))</f>
        <v/>
      </c>
      <c r="R145" s="11" t="n"/>
      <c r="S145" s="11" t="n"/>
      <c r="T145" s="12" t="n"/>
      <c r="U145" s="11" t="n"/>
      <c r="V145" s="17" t="n"/>
    </row>
    <row r="146">
      <c r="A146" s="11" t="n"/>
      <c r="B146" s="11" t="n"/>
      <c r="C146" s="11" t="n"/>
      <c r="D146" s="11" t="n"/>
      <c r="E146" s="12" t="n"/>
      <c r="F146" s="12" t="n"/>
      <c r="G146" s="12" t="n"/>
      <c r="H146" s="11" t="n"/>
      <c r="I146" s="11" t="n"/>
      <c r="J146" s="13" t="n"/>
      <c r="K146" s="13" t="n"/>
      <c r="L146" s="14" t="n"/>
      <c r="M146" s="11" t="n"/>
      <c r="N146" s="14" t="n"/>
      <c r="O146" s="15">
        <f>IF(COUNT(I146:L146)+COUNT(M146:N146)=0,"",IFERROR(I146*J146*K146*L146,0)+IFERROR(M146*4.3*N146,0))</f>
        <v/>
      </c>
      <c r="P146" s="15">
        <f>IF(O146="","",O146*6)</f>
        <v/>
      </c>
      <c r="Q146" s="16">
        <f>IF(P146="","",IF(R146="&lt;10k","Todavía no",IF(P146&lt;1500,"Todavía no",IF(P146&lt;3500,"Nivel 1","Nivel 2 o 3"))))</f>
        <v/>
      </c>
      <c r="R146" s="11" t="n"/>
      <c r="S146" s="11" t="n"/>
      <c r="T146" s="12" t="n"/>
      <c r="U146" s="11" t="n"/>
      <c r="V146" s="17" t="n"/>
    </row>
    <row r="147">
      <c r="A147" s="11" t="n"/>
      <c r="B147" s="11" t="n"/>
      <c r="C147" s="11" t="n"/>
      <c r="D147" s="11" t="n"/>
      <c r="E147" s="12" t="n"/>
      <c r="F147" s="12" t="n"/>
      <c r="G147" s="12" t="n"/>
      <c r="H147" s="11" t="n"/>
      <c r="I147" s="11" t="n"/>
      <c r="J147" s="13" t="n"/>
      <c r="K147" s="13" t="n"/>
      <c r="L147" s="14" t="n"/>
      <c r="M147" s="11" t="n"/>
      <c r="N147" s="14" t="n"/>
      <c r="O147" s="15">
        <f>IF(COUNT(I147:L147)+COUNT(M147:N147)=0,"",IFERROR(I147*J147*K147*L147,0)+IFERROR(M147*4.3*N147,0))</f>
        <v/>
      </c>
      <c r="P147" s="15">
        <f>IF(O147="","",O147*6)</f>
        <v/>
      </c>
      <c r="Q147" s="16">
        <f>IF(P147="","",IF(R147="&lt;10k","Todavía no",IF(P147&lt;1500,"Todavía no",IF(P147&lt;3500,"Nivel 1","Nivel 2 o 3"))))</f>
        <v/>
      </c>
      <c r="R147" s="11" t="n"/>
      <c r="S147" s="11" t="n"/>
      <c r="T147" s="12" t="n"/>
      <c r="U147" s="11" t="n"/>
      <c r="V147" s="17" t="n"/>
    </row>
    <row r="148">
      <c r="A148" s="11" t="n"/>
      <c r="B148" s="11" t="n"/>
      <c r="C148" s="11" t="n"/>
      <c r="D148" s="11" t="n"/>
      <c r="E148" s="12" t="n"/>
      <c r="F148" s="12" t="n"/>
      <c r="G148" s="12" t="n"/>
      <c r="H148" s="11" t="n"/>
      <c r="I148" s="11" t="n"/>
      <c r="J148" s="13" t="n"/>
      <c r="K148" s="13" t="n"/>
      <c r="L148" s="14" t="n"/>
      <c r="M148" s="11" t="n"/>
      <c r="N148" s="14" t="n"/>
      <c r="O148" s="15">
        <f>IF(COUNT(I148:L148)+COUNT(M148:N148)=0,"",IFERROR(I148*J148*K148*L148,0)+IFERROR(M148*4.3*N148,0))</f>
        <v/>
      </c>
      <c r="P148" s="15">
        <f>IF(O148="","",O148*6)</f>
        <v/>
      </c>
      <c r="Q148" s="16">
        <f>IF(P148="","",IF(R148="&lt;10k","Todavía no",IF(P148&lt;1500,"Todavía no",IF(P148&lt;3500,"Nivel 1","Nivel 2 o 3"))))</f>
        <v/>
      </c>
      <c r="R148" s="11" t="n"/>
      <c r="S148" s="11" t="n"/>
      <c r="T148" s="12" t="n"/>
      <c r="U148" s="11" t="n"/>
      <c r="V148" s="17" t="n"/>
    </row>
    <row r="149">
      <c r="A149" s="11" t="n"/>
      <c r="B149" s="11" t="n"/>
      <c r="C149" s="11" t="n"/>
      <c r="D149" s="11" t="n"/>
      <c r="E149" s="12" t="n"/>
      <c r="F149" s="12" t="n"/>
      <c r="G149" s="12" t="n"/>
      <c r="H149" s="11" t="n"/>
      <c r="I149" s="11" t="n"/>
      <c r="J149" s="13" t="n"/>
      <c r="K149" s="13" t="n"/>
      <c r="L149" s="14" t="n"/>
      <c r="M149" s="11" t="n"/>
      <c r="N149" s="14" t="n"/>
      <c r="O149" s="15">
        <f>IF(COUNT(I149:L149)+COUNT(M149:N149)=0,"",IFERROR(I149*J149*K149*L149,0)+IFERROR(M149*4.3*N149,0))</f>
        <v/>
      </c>
      <c r="P149" s="15">
        <f>IF(O149="","",O149*6)</f>
        <v/>
      </c>
      <c r="Q149" s="16">
        <f>IF(P149="","",IF(R149="&lt;10k","Todavía no",IF(P149&lt;1500,"Todavía no",IF(P149&lt;3500,"Nivel 1","Nivel 2 o 3"))))</f>
        <v/>
      </c>
      <c r="R149" s="11" t="n"/>
      <c r="S149" s="11" t="n"/>
      <c r="T149" s="12" t="n"/>
      <c r="U149" s="11" t="n"/>
      <c r="V149" s="17" t="n"/>
    </row>
    <row r="150">
      <c r="A150" s="11" t="n"/>
      <c r="B150" s="11" t="n"/>
      <c r="C150" s="11" t="n"/>
      <c r="D150" s="11" t="n"/>
      <c r="E150" s="12" t="n"/>
      <c r="F150" s="12" t="n"/>
      <c r="G150" s="12" t="n"/>
      <c r="H150" s="11" t="n"/>
      <c r="I150" s="11" t="n"/>
      <c r="J150" s="13" t="n"/>
      <c r="K150" s="13" t="n"/>
      <c r="L150" s="14" t="n"/>
      <c r="M150" s="11" t="n"/>
      <c r="N150" s="14" t="n"/>
      <c r="O150" s="15">
        <f>IF(COUNT(I150:L150)+COUNT(M150:N150)=0,"",IFERROR(I150*J150*K150*L150,0)+IFERROR(M150*4.3*N150,0))</f>
        <v/>
      </c>
      <c r="P150" s="15">
        <f>IF(O150="","",O150*6)</f>
        <v/>
      </c>
      <c r="Q150" s="16">
        <f>IF(P150="","",IF(R150="&lt;10k","Todavía no",IF(P150&lt;1500,"Todavía no",IF(P150&lt;3500,"Nivel 1","Nivel 2 o 3"))))</f>
        <v/>
      </c>
      <c r="R150" s="11" t="n"/>
      <c r="S150" s="11" t="n"/>
      <c r="T150" s="12" t="n"/>
      <c r="U150" s="11" t="n"/>
      <c r="V150" s="17" t="n"/>
    </row>
    <row r="151">
      <c r="A151" s="11" t="n"/>
      <c r="B151" s="11" t="n"/>
      <c r="C151" s="11" t="n"/>
      <c r="D151" s="11" t="n"/>
      <c r="E151" s="12" t="n"/>
      <c r="F151" s="12" t="n"/>
      <c r="G151" s="12" t="n"/>
      <c r="H151" s="11" t="n"/>
      <c r="I151" s="11" t="n"/>
      <c r="J151" s="13" t="n"/>
      <c r="K151" s="13" t="n"/>
      <c r="L151" s="14" t="n"/>
      <c r="M151" s="11" t="n"/>
      <c r="N151" s="14" t="n"/>
      <c r="O151" s="15">
        <f>IF(COUNT(I151:L151)+COUNT(M151:N151)=0,"",IFERROR(I151*J151*K151*L151,0)+IFERROR(M151*4.3*N151,0))</f>
        <v/>
      </c>
      <c r="P151" s="15">
        <f>IF(O151="","",O151*6)</f>
        <v/>
      </c>
      <c r="Q151" s="16">
        <f>IF(P151="","",IF(R151="&lt;10k","Todavía no",IF(P151&lt;1500,"Todavía no",IF(P151&lt;3500,"Nivel 1","Nivel 2 o 3"))))</f>
        <v/>
      </c>
      <c r="R151" s="11" t="n"/>
      <c r="S151" s="11" t="n"/>
      <c r="T151" s="12" t="n"/>
      <c r="U151" s="11" t="n"/>
      <c r="V151" s="17" t="n"/>
    </row>
    <row r="152">
      <c r="A152" s="11" t="n"/>
      <c r="B152" s="11" t="n"/>
      <c r="C152" s="11" t="n"/>
      <c r="D152" s="11" t="n"/>
      <c r="E152" s="12" t="n"/>
      <c r="F152" s="12" t="n"/>
      <c r="G152" s="12" t="n"/>
      <c r="H152" s="11" t="n"/>
      <c r="I152" s="11" t="n"/>
      <c r="J152" s="13" t="n"/>
      <c r="K152" s="13" t="n"/>
      <c r="L152" s="14" t="n"/>
      <c r="M152" s="11" t="n"/>
      <c r="N152" s="14" t="n"/>
      <c r="O152" s="15">
        <f>IF(COUNT(I152:L152)+COUNT(M152:N152)=0,"",IFERROR(I152*J152*K152*L152,0)+IFERROR(M152*4.3*N152,0))</f>
        <v/>
      </c>
      <c r="P152" s="15">
        <f>IF(O152="","",O152*6)</f>
        <v/>
      </c>
      <c r="Q152" s="16">
        <f>IF(P152="","",IF(R152="&lt;10k","Todavía no",IF(P152&lt;1500,"Todavía no",IF(P152&lt;3500,"Nivel 1","Nivel 2 o 3"))))</f>
        <v/>
      </c>
      <c r="R152" s="11" t="n"/>
      <c r="S152" s="11" t="n"/>
      <c r="T152" s="12" t="n"/>
      <c r="U152" s="11" t="n"/>
      <c r="V152" s="17" t="n"/>
    </row>
    <row r="153">
      <c r="A153" s="11" t="n"/>
      <c r="B153" s="11" t="n"/>
      <c r="C153" s="11" t="n"/>
      <c r="D153" s="11" t="n"/>
      <c r="E153" s="12" t="n"/>
      <c r="F153" s="12" t="n"/>
      <c r="G153" s="12" t="n"/>
      <c r="H153" s="11" t="n"/>
      <c r="I153" s="11" t="n"/>
      <c r="J153" s="13" t="n"/>
      <c r="K153" s="13" t="n"/>
      <c r="L153" s="14" t="n"/>
      <c r="M153" s="11" t="n"/>
      <c r="N153" s="14" t="n"/>
      <c r="O153" s="15">
        <f>IF(COUNT(I153:L153)+COUNT(M153:N153)=0,"",IFERROR(I153*J153*K153*L153,0)+IFERROR(M153*4.3*N153,0))</f>
        <v/>
      </c>
      <c r="P153" s="15">
        <f>IF(O153="","",O153*6)</f>
        <v/>
      </c>
      <c r="Q153" s="16">
        <f>IF(P153="","",IF(R153="&lt;10k","Todavía no",IF(P153&lt;1500,"Todavía no",IF(P153&lt;3500,"Nivel 1","Nivel 2 o 3"))))</f>
        <v/>
      </c>
      <c r="R153" s="11" t="n"/>
      <c r="S153" s="11" t="n"/>
      <c r="T153" s="12" t="n"/>
      <c r="U153" s="11" t="n"/>
      <c r="V153" s="17" t="n"/>
    </row>
    <row r="154">
      <c r="A154" s="11" t="n"/>
      <c r="B154" s="11" t="n"/>
      <c r="C154" s="11" t="n"/>
      <c r="D154" s="11" t="n"/>
      <c r="E154" s="12" t="n"/>
      <c r="F154" s="12" t="n"/>
      <c r="G154" s="12" t="n"/>
      <c r="H154" s="11" t="n"/>
      <c r="I154" s="11" t="n"/>
      <c r="J154" s="13" t="n"/>
      <c r="K154" s="13" t="n"/>
      <c r="L154" s="14" t="n"/>
      <c r="M154" s="11" t="n"/>
      <c r="N154" s="14" t="n"/>
      <c r="O154" s="15">
        <f>IF(COUNT(I154:L154)+COUNT(M154:N154)=0,"",IFERROR(I154*J154*K154*L154,0)+IFERROR(M154*4.3*N154,0))</f>
        <v/>
      </c>
      <c r="P154" s="15">
        <f>IF(O154="","",O154*6)</f>
        <v/>
      </c>
      <c r="Q154" s="16">
        <f>IF(P154="","",IF(R154="&lt;10k","Todavía no",IF(P154&lt;1500,"Todavía no",IF(P154&lt;3500,"Nivel 1","Nivel 2 o 3"))))</f>
        <v/>
      </c>
      <c r="R154" s="11" t="n"/>
      <c r="S154" s="11" t="n"/>
      <c r="T154" s="12" t="n"/>
      <c r="U154" s="11" t="n"/>
      <c r="V154" s="17" t="n"/>
    </row>
    <row r="155">
      <c r="A155" s="11" t="n"/>
      <c r="B155" s="11" t="n"/>
      <c r="C155" s="11" t="n"/>
      <c r="D155" s="11" t="n"/>
      <c r="E155" s="12" t="n"/>
      <c r="F155" s="12" t="n"/>
      <c r="G155" s="12" t="n"/>
      <c r="H155" s="11" t="n"/>
      <c r="I155" s="11" t="n"/>
      <c r="J155" s="13" t="n"/>
      <c r="K155" s="13" t="n"/>
      <c r="L155" s="14" t="n"/>
      <c r="M155" s="11" t="n"/>
      <c r="N155" s="14" t="n"/>
      <c r="O155" s="15">
        <f>IF(COUNT(I155:L155)+COUNT(M155:N155)=0,"",IFERROR(I155*J155*K155*L155,0)+IFERROR(M155*4.3*N155,0))</f>
        <v/>
      </c>
      <c r="P155" s="15">
        <f>IF(O155="","",O155*6)</f>
        <v/>
      </c>
      <c r="Q155" s="16">
        <f>IF(P155="","",IF(R155="&lt;10k","Todavía no",IF(P155&lt;1500,"Todavía no",IF(P155&lt;3500,"Nivel 1","Nivel 2 o 3"))))</f>
        <v/>
      </c>
      <c r="R155" s="11" t="n"/>
      <c r="S155" s="11" t="n"/>
      <c r="T155" s="12" t="n"/>
      <c r="U155" s="11" t="n"/>
      <c r="V155" s="17" t="n"/>
    </row>
    <row r="156">
      <c r="A156" s="11" t="n"/>
      <c r="B156" s="11" t="n"/>
      <c r="C156" s="11" t="n"/>
      <c r="D156" s="11" t="n"/>
      <c r="E156" s="12" t="n"/>
      <c r="F156" s="12" t="n"/>
      <c r="G156" s="12" t="n"/>
      <c r="H156" s="11" t="n"/>
      <c r="I156" s="11" t="n"/>
      <c r="J156" s="13" t="n"/>
      <c r="K156" s="13" t="n"/>
      <c r="L156" s="14" t="n"/>
      <c r="M156" s="11" t="n"/>
      <c r="N156" s="14" t="n"/>
      <c r="O156" s="15">
        <f>IF(COUNT(I156:L156)+COUNT(M156:N156)=0,"",IFERROR(I156*J156*K156*L156,0)+IFERROR(M156*4.3*N156,0))</f>
        <v/>
      </c>
      <c r="P156" s="15">
        <f>IF(O156="","",O156*6)</f>
        <v/>
      </c>
      <c r="Q156" s="16">
        <f>IF(P156="","",IF(R156="&lt;10k","Todavía no",IF(P156&lt;1500,"Todavía no",IF(P156&lt;3500,"Nivel 1","Nivel 2 o 3"))))</f>
        <v/>
      </c>
      <c r="R156" s="11" t="n"/>
      <c r="S156" s="11" t="n"/>
      <c r="T156" s="12" t="n"/>
      <c r="U156" s="11" t="n"/>
      <c r="V156" s="17" t="n"/>
    </row>
    <row r="157">
      <c r="A157" s="11" t="n"/>
      <c r="B157" s="11" t="n"/>
      <c r="C157" s="11" t="n"/>
      <c r="D157" s="11" t="n"/>
      <c r="E157" s="12" t="n"/>
      <c r="F157" s="12" t="n"/>
      <c r="G157" s="12" t="n"/>
      <c r="H157" s="11" t="n"/>
      <c r="I157" s="11" t="n"/>
      <c r="J157" s="13" t="n"/>
      <c r="K157" s="13" t="n"/>
      <c r="L157" s="14" t="n"/>
      <c r="M157" s="11" t="n"/>
      <c r="N157" s="14" t="n"/>
      <c r="O157" s="15">
        <f>IF(COUNT(I157:L157)+COUNT(M157:N157)=0,"",IFERROR(I157*J157*K157*L157,0)+IFERROR(M157*4.3*N157,0))</f>
        <v/>
      </c>
      <c r="P157" s="15">
        <f>IF(O157="","",O157*6)</f>
        <v/>
      </c>
      <c r="Q157" s="16">
        <f>IF(P157="","",IF(R157="&lt;10k","Todavía no",IF(P157&lt;1500,"Todavía no",IF(P157&lt;3500,"Nivel 1","Nivel 2 o 3"))))</f>
        <v/>
      </c>
      <c r="R157" s="11" t="n"/>
      <c r="S157" s="11" t="n"/>
      <c r="T157" s="12" t="n"/>
      <c r="U157" s="11" t="n"/>
      <c r="V157" s="17" t="n"/>
    </row>
    <row r="158">
      <c r="A158" s="11" t="n"/>
      <c r="B158" s="11" t="n"/>
      <c r="C158" s="11" t="n"/>
      <c r="D158" s="11" t="n"/>
      <c r="E158" s="12" t="n"/>
      <c r="F158" s="12" t="n"/>
      <c r="G158" s="12" t="n"/>
      <c r="H158" s="11" t="n"/>
      <c r="I158" s="11" t="n"/>
      <c r="J158" s="13" t="n"/>
      <c r="K158" s="13" t="n"/>
      <c r="L158" s="14" t="n"/>
      <c r="M158" s="11" t="n"/>
      <c r="N158" s="14" t="n"/>
      <c r="O158" s="15">
        <f>IF(COUNT(I158:L158)+COUNT(M158:N158)=0,"",IFERROR(I158*J158*K158*L158,0)+IFERROR(M158*4.3*N158,0))</f>
        <v/>
      </c>
      <c r="P158" s="15">
        <f>IF(O158="","",O158*6)</f>
        <v/>
      </c>
      <c r="Q158" s="16">
        <f>IF(P158="","",IF(R158="&lt;10k","Todavía no",IF(P158&lt;1500,"Todavía no",IF(P158&lt;3500,"Nivel 1","Nivel 2 o 3"))))</f>
        <v/>
      </c>
      <c r="R158" s="11" t="n"/>
      <c r="S158" s="11" t="n"/>
      <c r="T158" s="12" t="n"/>
      <c r="U158" s="11" t="n"/>
      <c r="V158" s="17" t="n"/>
    </row>
    <row r="159">
      <c r="A159" s="11" t="n"/>
      <c r="B159" s="11" t="n"/>
      <c r="C159" s="11" t="n"/>
      <c r="D159" s="11" t="n"/>
      <c r="E159" s="12" t="n"/>
      <c r="F159" s="12" t="n"/>
      <c r="G159" s="12" t="n"/>
      <c r="H159" s="11" t="n"/>
      <c r="I159" s="11" t="n"/>
      <c r="J159" s="13" t="n"/>
      <c r="K159" s="13" t="n"/>
      <c r="L159" s="14" t="n"/>
      <c r="M159" s="11" t="n"/>
      <c r="N159" s="14" t="n"/>
      <c r="O159" s="15">
        <f>IF(COUNT(I159:L159)+COUNT(M159:N159)=0,"",IFERROR(I159*J159*K159*L159,0)+IFERROR(M159*4.3*N159,0))</f>
        <v/>
      </c>
      <c r="P159" s="15">
        <f>IF(O159="","",O159*6)</f>
        <v/>
      </c>
      <c r="Q159" s="16">
        <f>IF(P159="","",IF(R159="&lt;10k","Todavía no",IF(P159&lt;1500,"Todavía no",IF(P159&lt;3500,"Nivel 1","Nivel 2 o 3"))))</f>
        <v/>
      </c>
      <c r="R159" s="11" t="n"/>
      <c r="S159" s="11" t="n"/>
      <c r="T159" s="12" t="n"/>
      <c r="U159" s="11" t="n"/>
      <c r="V159" s="17" t="n"/>
    </row>
    <row r="160">
      <c r="A160" s="11" t="n"/>
      <c r="B160" s="11" t="n"/>
      <c r="C160" s="11" t="n"/>
      <c r="D160" s="11" t="n"/>
      <c r="E160" s="12" t="n"/>
      <c r="F160" s="12" t="n"/>
      <c r="G160" s="12" t="n"/>
      <c r="H160" s="11" t="n"/>
      <c r="I160" s="11" t="n"/>
      <c r="J160" s="13" t="n"/>
      <c r="K160" s="13" t="n"/>
      <c r="L160" s="14" t="n"/>
      <c r="M160" s="11" t="n"/>
      <c r="N160" s="14" t="n"/>
      <c r="O160" s="15">
        <f>IF(COUNT(I160:L160)+COUNT(M160:N160)=0,"",IFERROR(I160*J160*K160*L160,0)+IFERROR(M160*4.3*N160,0))</f>
        <v/>
      </c>
      <c r="P160" s="15">
        <f>IF(O160="","",O160*6)</f>
        <v/>
      </c>
      <c r="Q160" s="16">
        <f>IF(P160="","",IF(R160="&lt;10k","Todavía no",IF(P160&lt;1500,"Todavía no",IF(P160&lt;3500,"Nivel 1","Nivel 2 o 3"))))</f>
        <v/>
      </c>
      <c r="R160" s="11" t="n"/>
      <c r="S160" s="11" t="n"/>
      <c r="T160" s="12" t="n"/>
      <c r="U160" s="11" t="n"/>
      <c r="V160" s="17" t="n"/>
    </row>
    <row r="161">
      <c r="A161" s="11" t="n"/>
      <c r="B161" s="11" t="n"/>
      <c r="C161" s="11" t="n"/>
      <c r="D161" s="11" t="n"/>
      <c r="E161" s="12" t="n"/>
      <c r="F161" s="12" t="n"/>
      <c r="G161" s="12" t="n"/>
      <c r="H161" s="11" t="n"/>
      <c r="I161" s="11" t="n"/>
      <c r="J161" s="13" t="n"/>
      <c r="K161" s="13" t="n"/>
      <c r="L161" s="14" t="n"/>
      <c r="M161" s="11" t="n"/>
      <c r="N161" s="14" t="n"/>
      <c r="O161" s="15">
        <f>IF(COUNT(I161:L161)+COUNT(M161:N161)=0,"",IFERROR(I161*J161*K161*L161,0)+IFERROR(M161*4.3*N161,0))</f>
        <v/>
      </c>
      <c r="P161" s="15">
        <f>IF(O161="","",O161*6)</f>
        <v/>
      </c>
      <c r="Q161" s="16">
        <f>IF(P161="","",IF(R161="&lt;10k","Todavía no",IF(P161&lt;1500,"Todavía no",IF(P161&lt;3500,"Nivel 1","Nivel 2 o 3"))))</f>
        <v/>
      </c>
      <c r="R161" s="11" t="n"/>
      <c r="S161" s="11" t="n"/>
      <c r="T161" s="12" t="n"/>
      <c r="U161" s="11" t="n"/>
      <c r="V161" s="17" t="n"/>
    </row>
    <row r="162">
      <c r="A162" s="11" t="n"/>
      <c r="B162" s="11" t="n"/>
      <c r="C162" s="11" t="n"/>
      <c r="D162" s="11" t="n"/>
      <c r="E162" s="12" t="n"/>
      <c r="F162" s="12" t="n"/>
      <c r="G162" s="12" t="n"/>
      <c r="H162" s="11" t="n"/>
      <c r="I162" s="11" t="n"/>
      <c r="J162" s="13" t="n"/>
      <c r="K162" s="13" t="n"/>
      <c r="L162" s="14" t="n"/>
      <c r="M162" s="11" t="n"/>
      <c r="N162" s="14" t="n"/>
      <c r="O162" s="15">
        <f>IF(COUNT(I162:L162)+COUNT(M162:N162)=0,"",IFERROR(I162*J162*K162*L162,0)+IFERROR(M162*4.3*N162,0))</f>
        <v/>
      </c>
      <c r="P162" s="15">
        <f>IF(O162="","",O162*6)</f>
        <v/>
      </c>
      <c r="Q162" s="16">
        <f>IF(P162="","",IF(R162="&lt;10k","Todavía no",IF(P162&lt;1500,"Todavía no",IF(P162&lt;3500,"Nivel 1","Nivel 2 o 3"))))</f>
        <v/>
      </c>
      <c r="R162" s="11" t="n"/>
      <c r="S162" s="11" t="n"/>
      <c r="T162" s="12" t="n"/>
      <c r="U162" s="11" t="n"/>
      <c r="V162" s="17" t="n"/>
    </row>
    <row r="163">
      <c r="A163" s="11" t="n"/>
      <c r="B163" s="11" t="n"/>
      <c r="C163" s="11" t="n"/>
      <c r="D163" s="11" t="n"/>
      <c r="E163" s="12" t="n"/>
      <c r="F163" s="12" t="n"/>
      <c r="G163" s="12" t="n"/>
      <c r="H163" s="11" t="n"/>
      <c r="I163" s="11" t="n"/>
      <c r="J163" s="13" t="n"/>
      <c r="K163" s="13" t="n"/>
      <c r="L163" s="14" t="n"/>
      <c r="M163" s="11" t="n"/>
      <c r="N163" s="14" t="n"/>
      <c r="O163" s="15">
        <f>IF(COUNT(I163:L163)+COUNT(M163:N163)=0,"",IFERROR(I163*J163*K163*L163,0)+IFERROR(M163*4.3*N163,0))</f>
        <v/>
      </c>
      <c r="P163" s="15">
        <f>IF(O163="","",O163*6)</f>
        <v/>
      </c>
      <c r="Q163" s="16">
        <f>IF(P163="","",IF(R163="&lt;10k","Todavía no",IF(P163&lt;1500,"Todavía no",IF(P163&lt;3500,"Nivel 1","Nivel 2 o 3"))))</f>
        <v/>
      </c>
      <c r="R163" s="11" t="n"/>
      <c r="S163" s="11" t="n"/>
      <c r="T163" s="12" t="n"/>
      <c r="U163" s="11" t="n"/>
      <c r="V163" s="17" t="n"/>
    </row>
    <row r="164">
      <c r="A164" s="11" t="n"/>
      <c r="B164" s="11" t="n"/>
      <c r="C164" s="11" t="n"/>
      <c r="D164" s="11" t="n"/>
      <c r="E164" s="12" t="n"/>
      <c r="F164" s="12" t="n"/>
      <c r="G164" s="12" t="n"/>
      <c r="H164" s="11" t="n"/>
      <c r="I164" s="11" t="n"/>
      <c r="J164" s="13" t="n"/>
      <c r="K164" s="13" t="n"/>
      <c r="L164" s="14" t="n"/>
      <c r="M164" s="11" t="n"/>
      <c r="N164" s="14" t="n"/>
      <c r="O164" s="15">
        <f>IF(COUNT(I164:L164)+COUNT(M164:N164)=0,"",IFERROR(I164*J164*K164*L164,0)+IFERROR(M164*4.3*N164,0))</f>
        <v/>
      </c>
      <c r="P164" s="15">
        <f>IF(O164="","",O164*6)</f>
        <v/>
      </c>
      <c r="Q164" s="16">
        <f>IF(P164="","",IF(R164="&lt;10k","Todavía no",IF(P164&lt;1500,"Todavía no",IF(P164&lt;3500,"Nivel 1","Nivel 2 o 3"))))</f>
        <v/>
      </c>
      <c r="R164" s="11" t="n"/>
      <c r="S164" s="11" t="n"/>
      <c r="T164" s="12" t="n"/>
      <c r="U164" s="11" t="n"/>
      <c r="V164" s="17" t="n"/>
    </row>
    <row r="165">
      <c r="A165" s="11" t="n"/>
      <c r="B165" s="11" t="n"/>
      <c r="C165" s="11" t="n"/>
      <c r="D165" s="11" t="n"/>
      <c r="E165" s="12" t="n"/>
      <c r="F165" s="12" t="n"/>
      <c r="G165" s="12" t="n"/>
      <c r="H165" s="11" t="n"/>
      <c r="I165" s="11" t="n"/>
      <c r="J165" s="13" t="n"/>
      <c r="K165" s="13" t="n"/>
      <c r="L165" s="14" t="n"/>
      <c r="M165" s="11" t="n"/>
      <c r="N165" s="14" t="n"/>
      <c r="O165" s="15">
        <f>IF(COUNT(I165:L165)+COUNT(M165:N165)=0,"",IFERROR(I165*J165*K165*L165,0)+IFERROR(M165*4.3*N165,0))</f>
        <v/>
      </c>
      <c r="P165" s="15">
        <f>IF(O165="","",O165*6)</f>
        <v/>
      </c>
      <c r="Q165" s="16">
        <f>IF(P165="","",IF(R165="&lt;10k","Todavía no",IF(P165&lt;1500,"Todavía no",IF(P165&lt;3500,"Nivel 1","Nivel 2 o 3"))))</f>
        <v/>
      </c>
      <c r="R165" s="11" t="n"/>
      <c r="S165" s="11" t="n"/>
      <c r="T165" s="12" t="n"/>
      <c r="U165" s="11" t="n"/>
      <c r="V165" s="17" t="n"/>
    </row>
    <row r="166">
      <c r="A166" s="11" t="n"/>
      <c r="B166" s="11" t="n"/>
      <c r="C166" s="11" t="n"/>
      <c r="D166" s="11" t="n"/>
      <c r="E166" s="12" t="n"/>
      <c r="F166" s="12" t="n"/>
      <c r="G166" s="12" t="n"/>
      <c r="H166" s="11" t="n"/>
      <c r="I166" s="11" t="n"/>
      <c r="J166" s="13" t="n"/>
      <c r="K166" s="13" t="n"/>
      <c r="L166" s="14" t="n"/>
      <c r="M166" s="11" t="n"/>
      <c r="N166" s="14" t="n"/>
      <c r="O166" s="15">
        <f>IF(COUNT(I166:L166)+COUNT(M166:N166)=0,"",IFERROR(I166*J166*K166*L166,0)+IFERROR(M166*4.3*N166,0))</f>
        <v/>
      </c>
      <c r="P166" s="15">
        <f>IF(O166="","",O166*6)</f>
        <v/>
      </c>
      <c r="Q166" s="16">
        <f>IF(P166="","",IF(R166="&lt;10k","Todavía no",IF(P166&lt;1500,"Todavía no",IF(P166&lt;3500,"Nivel 1","Nivel 2 o 3"))))</f>
        <v/>
      </c>
      <c r="R166" s="11" t="n"/>
      <c r="S166" s="11" t="n"/>
      <c r="T166" s="12" t="n"/>
      <c r="U166" s="11" t="n"/>
      <c r="V166" s="17" t="n"/>
    </row>
    <row r="167">
      <c r="A167" s="11" t="n"/>
      <c r="B167" s="11" t="n"/>
      <c r="C167" s="11" t="n"/>
      <c r="D167" s="11" t="n"/>
      <c r="E167" s="12" t="n"/>
      <c r="F167" s="12" t="n"/>
      <c r="G167" s="12" t="n"/>
      <c r="H167" s="11" t="n"/>
      <c r="I167" s="11" t="n"/>
      <c r="J167" s="13" t="n"/>
      <c r="K167" s="13" t="n"/>
      <c r="L167" s="14" t="n"/>
      <c r="M167" s="11" t="n"/>
      <c r="N167" s="14" t="n"/>
      <c r="O167" s="15">
        <f>IF(COUNT(I167:L167)+COUNT(M167:N167)=0,"",IFERROR(I167*J167*K167*L167,0)+IFERROR(M167*4.3*N167,0))</f>
        <v/>
      </c>
      <c r="P167" s="15">
        <f>IF(O167="","",O167*6)</f>
        <v/>
      </c>
      <c r="Q167" s="16">
        <f>IF(P167="","",IF(R167="&lt;10k","Todavía no",IF(P167&lt;1500,"Todavía no",IF(P167&lt;3500,"Nivel 1","Nivel 2 o 3"))))</f>
        <v/>
      </c>
      <c r="R167" s="11" t="n"/>
      <c r="S167" s="11" t="n"/>
      <c r="T167" s="12" t="n"/>
      <c r="U167" s="11" t="n"/>
      <c r="V167" s="17" t="n"/>
    </row>
    <row r="168">
      <c r="A168" s="11" t="n"/>
      <c r="B168" s="11" t="n"/>
      <c r="C168" s="11" t="n"/>
      <c r="D168" s="11" t="n"/>
      <c r="E168" s="12" t="n"/>
      <c r="F168" s="12" t="n"/>
      <c r="G168" s="12" t="n"/>
      <c r="H168" s="11" t="n"/>
      <c r="I168" s="11" t="n"/>
      <c r="J168" s="13" t="n"/>
      <c r="K168" s="13" t="n"/>
      <c r="L168" s="14" t="n"/>
      <c r="M168" s="11" t="n"/>
      <c r="N168" s="14" t="n"/>
      <c r="O168" s="15">
        <f>IF(COUNT(I168:L168)+COUNT(M168:N168)=0,"",IFERROR(I168*J168*K168*L168,0)+IFERROR(M168*4.3*N168,0))</f>
        <v/>
      </c>
      <c r="P168" s="15">
        <f>IF(O168="","",O168*6)</f>
        <v/>
      </c>
      <c r="Q168" s="16">
        <f>IF(P168="","",IF(R168="&lt;10k","Todavía no",IF(P168&lt;1500,"Todavía no",IF(P168&lt;3500,"Nivel 1","Nivel 2 o 3"))))</f>
        <v/>
      </c>
      <c r="R168" s="11" t="n"/>
      <c r="S168" s="11" t="n"/>
      <c r="T168" s="12" t="n"/>
      <c r="U168" s="11" t="n"/>
      <c r="V168" s="17" t="n"/>
    </row>
    <row r="169">
      <c r="A169" s="11" t="n"/>
      <c r="B169" s="11" t="n"/>
      <c r="C169" s="11" t="n"/>
      <c r="D169" s="11" t="n"/>
      <c r="E169" s="12" t="n"/>
      <c r="F169" s="12" t="n"/>
      <c r="G169" s="12" t="n"/>
      <c r="H169" s="11" t="n"/>
      <c r="I169" s="11" t="n"/>
      <c r="J169" s="13" t="n"/>
      <c r="K169" s="13" t="n"/>
      <c r="L169" s="14" t="n"/>
      <c r="M169" s="11" t="n"/>
      <c r="N169" s="14" t="n"/>
      <c r="O169" s="15">
        <f>IF(COUNT(I169:L169)+COUNT(M169:N169)=0,"",IFERROR(I169*J169*K169*L169,0)+IFERROR(M169*4.3*N169,0))</f>
        <v/>
      </c>
      <c r="P169" s="15">
        <f>IF(O169="","",O169*6)</f>
        <v/>
      </c>
      <c r="Q169" s="16">
        <f>IF(P169="","",IF(R169="&lt;10k","Todavía no",IF(P169&lt;1500,"Todavía no",IF(P169&lt;3500,"Nivel 1","Nivel 2 o 3"))))</f>
        <v/>
      </c>
      <c r="R169" s="11" t="n"/>
      <c r="S169" s="11" t="n"/>
      <c r="T169" s="12" t="n"/>
      <c r="U169" s="11" t="n"/>
      <c r="V169" s="17" t="n"/>
    </row>
    <row r="170">
      <c r="A170" s="11" t="n"/>
      <c r="B170" s="11" t="n"/>
      <c r="C170" s="11" t="n"/>
      <c r="D170" s="11" t="n"/>
      <c r="E170" s="12" t="n"/>
      <c r="F170" s="12" t="n"/>
      <c r="G170" s="12" t="n"/>
      <c r="H170" s="11" t="n"/>
      <c r="I170" s="11" t="n"/>
      <c r="J170" s="13" t="n"/>
      <c r="K170" s="13" t="n"/>
      <c r="L170" s="14" t="n"/>
      <c r="M170" s="11" t="n"/>
      <c r="N170" s="14" t="n"/>
      <c r="O170" s="15">
        <f>IF(COUNT(I170:L170)+COUNT(M170:N170)=0,"",IFERROR(I170*J170*K170*L170,0)+IFERROR(M170*4.3*N170,0))</f>
        <v/>
      </c>
      <c r="P170" s="15">
        <f>IF(O170="","",O170*6)</f>
        <v/>
      </c>
      <c r="Q170" s="16">
        <f>IF(P170="","",IF(R170="&lt;10k","Todavía no",IF(P170&lt;1500,"Todavía no",IF(P170&lt;3500,"Nivel 1","Nivel 2 o 3"))))</f>
        <v/>
      </c>
      <c r="R170" s="11" t="n"/>
      <c r="S170" s="11" t="n"/>
      <c r="T170" s="12" t="n"/>
      <c r="U170" s="11" t="n"/>
      <c r="V170" s="17" t="n"/>
    </row>
    <row r="171">
      <c r="A171" s="11" t="n"/>
      <c r="B171" s="11" t="n"/>
      <c r="C171" s="11" t="n"/>
      <c r="D171" s="11" t="n"/>
      <c r="E171" s="12" t="n"/>
      <c r="F171" s="12" t="n"/>
      <c r="G171" s="12" t="n"/>
      <c r="H171" s="11" t="n"/>
      <c r="I171" s="11" t="n"/>
      <c r="J171" s="13" t="n"/>
      <c r="K171" s="13" t="n"/>
      <c r="L171" s="14" t="n"/>
      <c r="M171" s="11" t="n"/>
      <c r="N171" s="14" t="n"/>
      <c r="O171" s="15">
        <f>IF(COUNT(I171:L171)+COUNT(M171:N171)=0,"",IFERROR(I171*J171*K171*L171,0)+IFERROR(M171*4.3*N171,0))</f>
        <v/>
      </c>
      <c r="P171" s="15">
        <f>IF(O171="","",O171*6)</f>
        <v/>
      </c>
      <c r="Q171" s="16">
        <f>IF(P171="","",IF(R171="&lt;10k","Todavía no",IF(P171&lt;1500,"Todavía no",IF(P171&lt;3500,"Nivel 1","Nivel 2 o 3"))))</f>
        <v/>
      </c>
      <c r="R171" s="11" t="n"/>
      <c r="S171" s="11" t="n"/>
      <c r="T171" s="12" t="n"/>
      <c r="U171" s="11" t="n"/>
      <c r="V171" s="17" t="n"/>
    </row>
    <row r="172">
      <c r="A172" s="11" t="n"/>
      <c r="B172" s="11" t="n"/>
      <c r="C172" s="11" t="n"/>
      <c r="D172" s="11" t="n"/>
      <c r="E172" s="12" t="n"/>
      <c r="F172" s="12" t="n"/>
      <c r="G172" s="12" t="n"/>
      <c r="H172" s="11" t="n"/>
      <c r="I172" s="11" t="n"/>
      <c r="J172" s="13" t="n"/>
      <c r="K172" s="13" t="n"/>
      <c r="L172" s="14" t="n"/>
      <c r="M172" s="11" t="n"/>
      <c r="N172" s="14" t="n"/>
      <c r="O172" s="15">
        <f>IF(COUNT(I172:L172)+COUNT(M172:N172)=0,"",IFERROR(I172*J172*K172*L172,0)+IFERROR(M172*4.3*N172,0))</f>
        <v/>
      </c>
      <c r="P172" s="15">
        <f>IF(O172="","",O172*6)</f>
        <v/>
      </c>
      <c r="Q172" s="16">
        <f>IF(P172="","",IF(R172="&lt;10k","Todavía no",IF(P172&lt;1500,"Todavía no",IF(P172&lt;3500,"Nivel 1","Nivel 2 o 3"))))</f>
        <v/>
      </c>
      <c r="R172" s="11" t="n"/>
      <c r="S172" s="11" t="n"/>
      <c r="T172" s="12" t="n"/>
      <c r="U172" s="11" t="n"/>
      <c r="V172" s="17" t="n"/>
    </row>
    <row r="173">
      <c r="A173" s="11" t="n"/>
      <c r="B173" s="11" t="n"/>
      <c r="C173" s="11" t="n"/>
      <c r="D173" s="11" t="n"/>
      <c r="E173" s="12" t="n"/>
      <c r="F173" s="12" t="n"/>
      <c r="G173" s="12" t="n"/>
      <c r="H173" s="11" t="n"/>
      <c r="I173" s="11" t="n"/>
      <c r="J173" s="13" t="n"/>
      <c r="K173" s="13" t="n"/>
      <c r="L173" s="14" t="n"/>
      <c r="M173" s="11" t="n"/>
      <c r="N173" s="14" t="n"/>
      <c r="O173" s="15">
        <f>IF(COUNT(I173:L173)+COUNT(M173:N173)=0,"",IFERROR(I173*J173*K173*L173,0)+IFERROR(M173*4.3*N173,0))</f>
        <v/>
      </c>
      <c r="P173" s="15">
        <f>IF(O173="","",O173*6)</f>
        <v/>
      </c>
      <c r="Q173" s="16">
        <f>IF(P173="","",IF(R173="&lt;10k","Todavía no",IF(P173&lt;1500,"Todavía no",IF(P173&lt;3500,"Nivel 1","Nivel 2 o 3"))))</f>
        <v/>
      </c>
      <c r="R173" s="11" t="n"/>
      <c r="S173" s="11" t="n"/>
      <c r="T173" s="12" t="n"/>
      <c r="U173" s="11" t="n"/>
      <c r="V173" s="17" t="n"/>
    </row>
    <row r="174">
      <c r="A174" s="11" t="n"/>
      <c r="B174" s="11" t="n"/>
      <c r="C174" s="11" t="n"/>
      <c r="D174" s="11" t="n"/>
      <c r="E174" s="12" t="n"/>
      <c r="F174" s="12" t="n"/>
      <c r="G174" s="12" t="n"/>
      <c r="H174" s="11" t="n"/>
      <c r="I174" s="11" t="n"/>
      <c r="J174" s="13" t="n"/>
      <c r="K174" s="13" t="n"/>
      <c r="L174" s="14" t="n"/>
      <c r="M174" s="11" t="n"/>
      <c r="N174" s="14" t="n"/>
      <c r="O174" s="15">
        <f>IF(COUNT(I174:L174)+COUNT(M174:N174)=0,"",IFERROR(I174*J174*K174*L174,0)+IFERROR(M174*4.3*N174,0))</f>
        <v/>
      </c>
      <c r="P174" s="15">
        <f>IF(O174="","",O174*6)</f>
        <v/>
      </c>
      <c r="Q174" s="16">
        <f>IF(P174="","",IF(R174="&lt;10k","Todavía no",IF(P174&lt;1500,"Todavía no",IF(P174&lt;3500,"Nivel 1","Nivel 2 o 3"))))</f>
        <v/>
      </c>
      <c r="R174" s="11" t="n"/>
      <c r="S174" s="11" t="n"/>
      <c r="T174" s="12" t="n"/>
      <c r="U174" s="11" t="n"/>
      <c r="V174" s="17" t="n"/>
    </row>
    <row r="175">
      <c r="A175" s="11" t="n"/>
      <c r="B175" s="11" t="n"/>
      <c r="C175" s="11" t="n"/>
      <c r="D175" s="11" t="n"/>
      <c r="E175" s="12" t="n"/>
      <c r="F175" s="12" t="n"/>
      <c r="G175" s="12" t="n"/>
      <c r="H175" s="11" t="n"/>
      <c r="I175" s="11" t="n"/>
      <c r="J175" s="13" t="n"/>
      <c r="K175" s="13" t="n"/>
      <c r="L175" s="14" t="n"/>
      <c r="M175" s="11" t="n"/>
      <c r="N175" s="14" t="n"/>
      <c r="O175" s="15">
        <f>IF(COUNT(I175:L175)+COUNT(M175:N175)=0,"",IFERROR(I175*J175*K175*L175,0)+IFERROR(M175*4.3*N175,0))</f>
        <v/>
      </c>
      <c r="P175" s="15">
        <f>IF(O175="","",O175*6)</f>
        <v/>
      </c>
      <c r="Q175" s="16">
        <f>IF(P175="","",IF(R175="&lt;10k","Todavía no",IF(P175&lt;1500,"Todavía no",IF(P175&lt;3500,"Nivel 1","Nivel 2 o 3"))))</f>
        <v/>
      </c>
      <c r="R175" s="11" t="n"/>
      <c r="S175" s="11" t="n"/>
      <c r="T175" s="12" t="n"/>
      <c r="U175" s="11" t="n"/>
      <c r="V175" s="17" t="n"/>
    </row>
    <row r="176">
      <c r="A176" s="11" t="n"/>
      <c r="B176" s="11" t="n"/>
      <c r="C176" s="11" t="n"/>
      <c r="D176" s="11" t="n"/>
      <c r="E176" s="12" t="n"/>
      <c r="F176" s="12" t="n"/>
      <c r="G176" s="12" t="n"/>
      <c r="H176" s="11" t="n"/>
      <c r="I176" s="11" t="n"/>
      <c r="J176" s="13" t="n"/>
      <c r="K176" s="13" t="n"/>
      <c r="L176" s="14" t="n"/>
      <c r="M176" s="11" t="n"/>
      <c r="N176" s="14" t="n"/>
      <c r="O176" s="15">
        <f>IF(COUNT(I176:L176)+COUNT(M176:N176)=0,"",IFERROR(I176*J176*K176*L176,0)+IFERROR(M176*4.3*N176,0))</f>
        <v/>
      </c>
      <c r="P176" s="15">
        <f>IF(O176="","",O176*6)</f>
        <v/>
      </c>
      <c r="Q176" s="16">
        <f>IF(P176="","",IF(R176="&lt;10k","Todavía no",IF(P176&lt;1500,"Todavía no",IF(P176&lt;3500,"Nivel 1","Nivel 2 o 3"))))</f>
        <v/>
      </c>
      <c r="R176" s="11" t="n"/>
      <c r="S176" s="11" t="n"/>
      <c r="T176" s="12" t="n"/>
      <c r="U176" s="11" t="n"/>
      <c r="V176" s="17" t="n"/>
    </row>
    <row r="177">
      <c r="A177" s="11" t="n"/>
      <c r="B177" s="11" t="n"/>
      <c r="C177" s="11" t="n"/>
      <c r="D177" s="11" t="n"/>
      <c r="E177" s="12" t="n"/>
      <c r="F177" s="12" t="n"/>
      <c r="G177" s="12" t="n"/>
      <c r="H177" s="11" t="n"/>
      <c r="I177" s="11" t="n"/>
      <c r="J177" s="13" t="n"/>
      <c r="K177" s="13" t="n"/>
      <c r="L177" s="14" t="n"/>
      <c r="M177" s="11" t="n"/>
      <c r="N177" s="14" t="n"/>
      <c r="O177" s="15">
        <f>IF(COUNT(I177:L177)+COUNT(M177:N177)=0,"",IFERROR(I177*J177*K177*L177,0)+IFERROR(M177*4.3*N177,0))</f>
        <v/>
      </c>
      <c r="P177" s="15">
        <f>IF(O177="","",O177*6)</f>
        <v/>
      </c>
      <c r="Q177" s="16">
        <f>IF(P177="","",IF(R177="&lt;10k","Todavía no",IF(P177&lt;1500,"Todavía no",IF(P177&lt;3500,"Nivel 1","Nivel 2 o 3"))))</f>
        <v/>
      </c>
      <c r="R177" s="11" t="n"/>
      <c r="S177" s="11" t="n"/>
      <c r="T177" s="12" t="n"/>
      <c r="U177" s="11" t="n"/>
      <c r="V177" s="17" t="n"/>
    </row>
    <row r="178">
      <c r="A178" s="11" t="n"/>
      <c r="B178" s="11" t="n"/>
      <c r="C178" s="11" t="n"/>
      <c r="D178" s="11" t="n"/>
      <c r="E178" s="12" t="n"/>
      <c r="F178" s="12" t="n"/>
      <c r="G178" s="12" t="n"/>
      <c r="H178" s="11" t="n"/>
      <c r="I178" s="11" t="n"/>
      <c r="J178" s="13" t="n"/>
      <c r="K178" s="13" t="n"/>
      <c r="L178" s="14" t="n"/>
      <c r="M178" s="11" t="n"/>
      <c r="N178" s="14" t="n"/>
      <c r="O178" s="15">
        <f>IF(COUNT(I178:L178)+COUNT(M178:N178)=0,"",IFERROR(I178*J178*K178*L178,0)+IFERROR(M178*4.3*N178,0))</f>
        <v/>
      </c>
      <c r="P178" s="15">
        <f>IF(O178="","",O178*6)</f>
        <v/>
      </c>
      <c r="Q178" s="16">
        <f>IF(P178="","",IF(R178="&lt;10k","Todavía no",IF(P178&lt;1500,"Todavía no",IF(P178&lt;3500,"Nivel 1","Nivel 2 o 3"))))</f>
        <v/>
      </c>
      <c r="R178" s="11" t="n"/>
      <c r="S178" s="11" t="n"/>
      <c r="T178" s="12" t="n"/>
      <c r="U178" s="11" t="n"/>
      <c r="V178" s="17" t="n"/>
    </row>
    <row r="179">
      <c r="A179" s="11" t="n"/>
      <c r="B179" s="11" t="n"/>
      <c r="C179" s="11" t="n"/>
      <c r="D179" s="11" t="n"/>
      <c r="E179" s="12" t="n"/>
      <c r="F179" s="12" t="n"/>
      <c r="G179" s="12" t="n"/>
      <c r="H179" s="11" t="n"/>
      <c r="I179" s="11" t="n"/>
      <c r="J179" s="13" t="n"/>
      <c r="K179" s="13" t="n"/>
      <c r="L179" s="14" t="n"/>
      <c r="M179" s="11" t="n"/>
      <c r="N179" s="14" t="n"/>
      <c r="O179" s="15">
        <f>IF(COUNT(I179:L179)+COUNT(M179:N179)=0,"",IFERROR(I179*J179*K179*L179,0)+IFERROR(M179*4.3*N179,0))</f>
        <v/>
      </c>
      <c r="P179" s="15">
        <f>IF(O179="","",O179*6)</f>
        <v/>
      </c>
      <c r="Q179" s="16">
        <f>IF(P179="","",IF(R179="&lt;10k","Todavía no",IF(P179&lt;1500,"Todavía no",IF(P179&lt;3500,"Nivel 1","Nivel 2 o 3"))))</f>
        <v/>
      </c>
      <c r="R179" s="11" t="n"/>
      <c r="S179" s="11" t="n"/>
      <c r="T179" s="12" t="n"/>
      <c r="U179" s="11" t="n"/>
      <c r="V179" s="17" t="n"/>
    </row>
    <row r="180">
      <c r="A180" s="11" t="n"/>
      <c r="B180" s="11" t="n"/>
      <c r="C180" s="11" t="n"/>
      <c r="D180" s="11" t="n"/>
      <c r="E180" s="12" t="n"/>
      <c r="F180" s="12" t="n"/>
      <c r="G180" s="12" t="n"/>
      <c r="H180" s="11" t="n"/>
      <c r="I180" s="11" t="n"/>
      <c r="J180" s="13" t="n"/>
      <c r="K180" s="13" t="n"/>
      <c r="L180" s="14" t="n"/>
      <c r="M180" s="11" t="n"/>
      <c r="N180" s="14" t="n"/>
      <c r="O180" s="15">
        <f>IF(COUNT(I180:L180)+COUNT(M180:N180)=0,"",IFERROR(I180*J180*K180*L180,0)+IFERROR(M180*4.3*N180,0))</f>
        <v/>
      </c>
      <c r="P180" s="15">
        <f>IF(O180="","",O180*6)</f>
        <v/>
      </c>
      <c r="Q180" s="16">
        <f>IF(P180="","",IF(R180="&lt;10k","Todavía no",IF(P180&lt;1500,"Todavía no",IF(P180&lt;3500,"Nivel 1","Nivel 2 o 3"))))</f>
        <v/>
      </c>
      <c r="R180" s="11" t="n"/>
      <c r="S180" s="11" t="n"/>
      <c r="T180" s="12" t="n"/>
      <c r="U180" s="11" t="n"/>
      <c r="V180" s="17" t="n"/>
    </row>
    <row r="181">
      <c r="A181" s="11" t="n"/>
      <c r="B181" s="11" t="n"/>
      <c r="C181" s="11" t="n"/>
      <c r="D181" s="11" t="n"/>
      <c r="E181" s="12" t="n"/>
      <c r="F181" s="12" t="n"/>
      <c r="G181" s="12" t="n"/>
      <c r="H181" s="11" t="n"/>
      <c r="I181" s="11" t="n"/>
      <c r="J181" s="13" t="n"/>
      <c r="K181" s="13" t="n"/>
      <c r="L181" s="14" t="n"/>
      <c r="M181" s="11" t="n"/>
      <c r="N181" s="14" t="n"/>
      <c r="O181" s="15">
        <f>IF(COUNT(I181:L181)+COUNT(M181:N181)=0,"",IFERROR(I181*J181*K181*L181,0)+IFERROR(M181*4.3*N181,0))</f>
        <v/>
      </c>
      <c r="P181" s="15">
        <f>IF(O181="","",O181*6)</f>
        <v/>
      </c>
      <c r="Q181" s="16">
        <f>IF(P181="","",IF(R181="&lt;10k","Todavía no",IF(P181&lt;1500,"Todavía no",IF(P181&lt;3500,"Nivel 1","Nivel 2 o 3"))))</f>
        <v/>
      </c>
      <c r="R181" s="11" t="n"/>
      <c r="S181" s="11" t="n"/>
      <c r="T181" s="12" t="n"/>
      <c r="U181" s="11" t="n"/>
      <c r="V181" s="17" t="n"/>
    </row>
    <row r="182">
      <c r="A182" s="11" t="n"/>
      <c r="B182" s="11" t="n"/>
      <c r="C182" s="11" t="n"/>
      <c r="D182" s="11" t="n"/>
      <c r="E182" s="12" t="n"/>
      <c r="F182" s="12" t="n"/>
      <c r="G182" s="12" t="n"/>
      <c r="H182" s="11" t="n"/>
      <c r="I182" s="11" t="n"/>
      <c r="J182" s="13" t="n"/>
      <c r="K182" s="13" t="n"/>
      <c r="L182" s="14" t="n"/>
      <c r="M182" s="11" t="n"/>
      <c r="N182" s="14" t="n"/>
      <c r="O182" s="15">
        <f>IF(COUNT(I182:L182)+COUNT(M182:N182)=0,"",IFERROR(I182*J182*K182*L182,0)+IFERROR(M182*4.3*N182,0))</f>
        <v/>
      </c>
      <c r="P182" s="15">
        <f>IF(O182="","",O182*6)</f>
        <v/>
      </c>
      <c r="Q182" s="16">
        <f>IF(P182="","",IF(R182="&lt;10k","Todavía no",IF(P182&lt;1500,"Todavía no",IF(P182&lt;3500,"Nivel 1","Nivel 2 o 3"))))</f>
        <v/>
      </c>
      <c r="R182" s="11" t="n"/>
      <c r="S182" s="11" t="n"/>
      <c r="T182" s="12" t="n"/>
      <c r="U182" s="11" t="n"/>
      <c r="V182" s="17" t="n"/>
    </row>
    <row r="183">
      <c r="A183" s="11" t="n"/>
      <c r="B183" s="11" t="n"/>
      <c r="C183" s="11" t="n"/>
      <c r="D183" s="11" t="n"/>
      <c r="E183" s="12" t="n"/>
      <c r="F183" s="12" t="n"/>
      <c r="G183" s="12" t="n"/>
      <c r="H183" s="11" t="n"/>
      <c r="I183" s="11" t="n"/>
      <c r="J183" s="13" t="n"/>
      <c r="K183" s="13" t="n"/>
      <c r="L183" s="14" t="n"/>
      <c r="M183" s="11" t="n"/>
      <c r="N183" s="14" t="n"/>
      <c r="O183" s="15">
        <f>IF(COUNT(I183:L183)+COUNT(M183:N183)=0,"",IFERROR(I183*J183*K183*L183,0)+IFERROR(M183*4.3*N183,0))</f>
        <v/>
      </c>
      <c r="P183" s="15">
        <f>IF(O183="","",O183*6)</f>
        <v/>
      </c>
      <c r="Q183" s="16">
        <f>IF(P183="","",IF(R183="&lt;10k","Todavía no",IF(P183&lt;1500,"Todavía no",IF(P183&lt;3500,"Nivel 1","Nivel 2 o 3"))))</f>
        <v/>
      </c>
      <c r="R183" s="11" t="n"/>
      <c r="S183" s="11" t="n"/>
      <c r="T183" s="12" t="n"/>
      <c r="U183" s="11" t="n"/>
      <c r="V183" s="17" t="n"/>
    </row>
    <row r="184">
      <c r="A184" s="11" t="n"/>
      <c r="B184" s="11" t="n"/>
      <c r="C184" s="11" t="n"/>
      <c r="D184" s="11" t="n"/>
      <c r="E184" s="12" t="n"/>
      <c r="F184" s="12" t="n"/>
      <c r="G184" s="12" t="n"/>
      <c r="H184" s="11" t="n"/>
      <c r="I184" s="11" t="n"/>
      <c r="J184" s="13" t="n"/>
      <c r="K184" s="13" t="n"/>
      <c r="L184" s="14" t="n"/>
      <c r="M184" s="11" t="n"/>
      <c r="N184" s="14" t="n"/>
      <c r="O184" s="15">
        <f>IF(COUNT(I184:L184)+COUNT(M184:N184)=0,"",IFERROR(I184*J184*K184*L184,0)+IFERROR(M184*4.3*N184,0))</f>
        <v/>
      </c>
      <c r="P184" s="15">
        <f>IF(O184="","",O184*6)</f>
        <v/>
      </c>
      <c r="Q184" s="16">
        <f>IF(P184="","",IF(R184="&lt;10k","Todavía no",IF(P184&lt;1500,"Todavía no",IF(P184&lt;3500,"Nivel 1","Nivel 2 o 3"))))</f>
        <v/>
      </c>
      <c r="R184" s="11" t="n"/>
      <c r="S184" s="11" t="n"/>
      <c r="T184" s="12" t="n"/>
      <c r="U184" s="11" t="n"/>
      <c r="V184" s="17" t="n"/>
    </row>
    <row r="185">
      <c r="A185" s="11" t="n"/>
      <c r="B185" s="11" t="n"/>
      <c r="C185" s="11" t="n"/>
      <c r="D185" s="11" t="n"/>
      <c r="E185" s="12" t="n"/>
      <c r="F185" s="12" t="n"/>
      <c r="G185" s="12" t="n"/>
      <c r="H185" s="11" t="n"/>
      <c r="I185" s="11" t="n"/>
      <c r="J185" s="13" t="n"/>
      <c r="K185" s="13" t="n"/>
      <c r="L185" s="14" t="n"/>
      <c r="M185" s="11" t="n"/>
      <c r="N185" s="14" t="n"/>
      <c r="O185" s="15">
        <f>IF(COUNT(I185:L185)+COUNT(M185:N185)=0,"",IFERROR(I185*J185*K185*L185,0)+IFERROR(M185*4.3*N185,0))</f>
        <v/>
      </c>
      <c r="P185" s="15">
        <f>IF(O185="","",O185*6)</f>
        <v/>
      </c>
      <c r="Q185" s="16">
        <f>IF(P185="","",IF(R185="&lt;10k","Todavía no",IF(P185&lt;1500,"Todavía no",IF(P185&lt;3500,"Nivel 1","Nivel 2 o 3"))))</f>
        <v/>
      </c>
      <c r="R185" s="11" t="n"/>
      <c r="S185" s="11" t="n"/>
      <c r="T185" s="12" t="n"/>
      <c r="U185" s="11" t="n"/>
      <c r="V185" s="17" t="n"/>
    </row>
    <row r="186">
      <c r="A186" s="11" t="n"/>
      <c r="B186" s="11" t="n"/>
      <c r="C186" s="11" t="n"/>
      <c r="D186" s="11" t="n"/>
      <c r="E186" s="12" t="n"/>
      <c r="F186" s="12" t="n"/>
      <c r="G186" s="12" t="n"/>
      <c r="H186" s="11" t="n"/>
      <c r="I186" s="11" t="n"/>
      <c r="J186" s="13" t="n"/>
      <c r="K186" s="13" t="n"/>
      <c r="L186" s="14" t="n"/>
      <c r="M186" s="11" t="n"/>
      <c r="N186" s="14" t="n"/>
      <c r="O186" s="15">
        <f>IF(COUNT(I186:L186)+COUNT(M186:N186)=0,"",IFERROR(I186*J186*K186*L186,0)+IFERROR(M186*4.3*N186,0))</f>
        <v/>
      </c>
      <c r="P186" s="15">
        <f>IF(O186="","",O186*6)</f>
        <v/>
      </c>
      <c r="Q186" s="16">
        <f>IF(P186="","",IF(R186="&lt;10k","Todavía no",IF(P186&lt;1500,"Todavía no",IF(P186&lt;3500,"Nivel 1","Nivel 2 o 3"))))</f>
        <v/>
      </c>
      <c r="R186" s="11" t="n"/>
      <c r="S186" s="11" t="n"/>
      <c r="T186" s="12" t="n"/>
      <c r="U186" s="11" t="n"/>
      <c r="V186" s="17" t="n"/>
    </row>
    <row r="187">
      <c r="A187" s="11" t="n"/>
      <c r="B187" s="11" t="n"/>
      <c r="C187" s="11" t="n"/>
      <c r="D187" s="11" t="n"/>
      <c r="E187" s="12" t="n"/>
      <c r="F187" s="12" t="n"/>
      <c r="G187" s="12" t="n"/>
      <c r="H187" s="11" t="n"/>
      <c r="I187" s="11" t="n"/>
      <c r="J187" s="13" t="n"/>
      <c r="K187" s="13" t="n"/>
      <c r="L187" s="14" t="n"/>
      <c r="M187" s="11" t="n"/>
      <c r="N187" s="14" t="n"/>
      <c r="O187" s="15">
        <f>IF(COUNT(I187:L187)+COUNT(M187:N187)=0,"",IFERROR(I187*J187*K187*L187,0)+IFERROR(M187*4.3*N187,0))</f>
        <v/>
      </c>
      <c r="P187" s="15">
        <f>IF(O187="","",O187*6)</f>
        <v/>
      </c>
      <c r="Q187" s="16">
        <f>IF(P187="","",IF(R187="&lt;10k","Todavía no",IF(P187&lt;1500,"Todavía no",IF(P187&lt;3500,"Nivel 1","Nivel 2 o 3"))))</f>
        <v/>
      </c>
      <c r="R187" s="11" t="n"/>
      <c r="S187" s="11" t="n"/>
      <c r="T187" s="12" t="n"/>
      <c r="U187" s="11" t="n"/>
      <c r="V187" s="17" t="n"/>
    </row>
    <row r="188">
      <c r="A188" s="11" t="n"/>
      <c r="B188" s="11" t="n"/>
      <c r="C188" s="11" t="n"/>
      <c r="D188" s="11" t="n"/>
      <c r="E188" s="12" t="n"/>
      <c r="F188" s="12" t="n"/>
      <c r="G188" s="12" t="n"/>
      <c r="H188" s="11" t="n"/>
      <c r="I188" s="11" t="n"/>
      <c r="J188" s="13" t="n"/>
      <c r="K188" s="13" t="n"/>
      <c r="L188" s="14" t="n"/>
      <c r="M188" s="11" t="n"/>
      <c r="N188" s="14" t="n"/>
      <c r="O188" s="15">
        <f>IF(COUNT(I188:L188)+COUNT(M188:N188)=0,"",IFERROR(I188*J188*K188*L188,0)+IFERROR(M188*4.3*N188,0))</f>
        <v/>
      </c>
      <c r="P188" s="15">
        <f>IF(O188="","",O188*6)</f>
        <v/>
      </c>
      <c r="Q188" s="16">
        <f>IF(P188="","",IF(R188="&lt;10k","Todavía no",IF(P188&lt;1500,"Todavía no",IF(P188&lt;3500,"Nivel 1","Nivel 2 o 3"))))</f>
        <v/>
      </c>
      <c r="R188" s="11" t="n"/>
      <c r="S188" s="11" t="n"/>
      <c r="T188" s="12" t="n"/>
      <c r="U188" s="11" t="n"/>
      <c r="V188" s="17" t="n"/>
    </row>
    <row r="189">
      <c r="A189" s="11" t="n"/>
      <c r="B189" s="11" t="n"/>
      <c r="C189" s="11" t="n"/>
      <c r="D189" s="11" t="n"/>
      <c r="E189" s="12" t="n"/>
      <c r="F189" s="12" t="n"/>
      <c r="G189" s="12" t="n"/>
      <c r="H189" s="11" t="n"/>
      <c r="I189" s="11" t="n"/>
      <c r="J189" s="13" t="n"/>
      <c r="K189" s="13" t="n"/>
      <c r="L189" s="14" t="n"/>
      <c r="M189" s="11" t="n"/>
      <c r="N189" s="14" t="n"/>
      <c r="O189" s="15">
        <f>IF(COUNT(I189:L189)+COUNT(M189:N189)=0,"",IFERROR(I189*J189*K189*L189,0)+IFERROR(M189*4.3*N189,0))</f>
        <v/>
      </c>
      <c r="P189" s="15">
        <f>IF(O189="","",O189*6)</f>
        <v/>
      </c>
      <c r="Q189" s="16">
        <f>IF(P189="","",IF(R189="&lt;10k","Todavía no",IF(P189&lt;1500,"Todavía no",IF(P189&lt;3500,"Nivel 1","Nivel 2 o 3"))))</f>
        <v/>
      </c>
      <c r="R189" s="11" t="n"/>
      <c r="S189" s="11" t="n"/>
      <c r="T189" s="12" t="n"/>
      <c r="U189" s="11" t="n"/>
      <c r="V189" s="17" t="n"/>
    </row>
    <row r="190">
      <c r="A190" s="11" t="n"/>
      <c r="B190" s="11" t="n"/>
      <c r="C190" s="11" t="n"/>
      <c r="D190" s="11" t="n"/>
      <c r="E190" s="12" t="n"/>
      <c r="F190" s="12" t="n"/>
      <c r="G190" s="12" t="n"/>
      <c r="H190" s="11" t="n"/>
      <c r="I190" s="11" t="n"/>
      <c r="J190" s="13" t="n"/>
      <c r="K190" s="13" t="n"/>
      <c r="L190" s="14" t="n"/>
      <c r="M190" s="11" t="n"/>
      <c r="N190" s="14" t="n"/>
      <c r="O190" s="15">
        <f>IF(COUNT(I190:L190)+COUNT(M190:N190)=0,"",IFERROR(I190*J190*K190*L190,0)+IFERROR(M190*4.3*N190,0))</f>
        <v/>
      </c>
      <c r="P190" s="15">
        <f>IF(O190="","",O190*6)</f>
        <v/>
      </c>
      <c r="Q190" s="16">
        <f>IF(P190="","",IF(R190="&lt;10k","Todavía no",IF(P190&lt;1500,"Todavía no",IF(P190&lt;3500,"Nivel 1","Nivel 2 o 3"))))</f>
        <v/>
      </c>
      <c r="R190" s="11" t="n"/>
      <c r="S190" s="11" t="n"/>
      <c r="T190" s="12" t="n"/>
      <c r="U190" s="11" t="n"/>
      <c r="V190" s="17" t="n"/>
    </row>
    <row r="191">
      <c r="A191" s="11" t="n"/>
      <c r="B191" s="11" t="n"/>
      <c r="C191" s="11" t="n"/>
      <c r="D191" s="11" t="n"/>
      <c r="E191" s="12" t="n"/>
      <c r="F191" s="12" t="n"/>
      <c r="G191" s="12" t="n"/>
      <c r="H191" s="11" t="n"/>
      <c r="I191" s="11" t="n"/>
      <c r="J191" s="13" t="n"/>
      <c r="K191" s="13" t="n"/>
      <c r="L191" s="14" t="n"/>
      <c r="M191" s="11" t="n"/>
      <c r="N191" s="14" t="n"/>
      <c r="O191" s="15">
        <f>IF(COUNT(I191:L191)+COUNT(M191:N191)=0,"",IFERROR(I191*J191*K191*L191,0)+IFERROR(M191*4.3*N191,0))</f>
        <v/>
      </c>
      <c r="P191" s="15">
        <f>IF(O191="","",O191*6)</f>
        <v/>
      </c>
      <c r="Q191" s="16">
        <f>IF(P191="","",IF(R191="&lt;10k","Todavía no",IF(P191&lt;1500,"Todavía no",IF(P191&lt;3500,"Nivel 1","Nivel 2 o 3"))))</f>
        <v/>
      </c>
      <c r="R191" s="11" t="n"/>
      <c r="S191" s="11" t="n"/>
      <c r="T191" s="12" t="n"/>
      <c r="U191" s="11" t="n"/>
      <c r="V191" s="17" t="n"/>
    </row>
    <row r="192">
      <c r="A192" s="11" t="n"/>
      <c r="B192" s="11" t="n"/>
      <c r="C192" s="11" t="n"/>
      <c r="D192" s="11" t="n"/>
      <c r="E192" s="12" t="n"/>
      <c r="F192" s="12" t="n"/>
      <c r="G192" s="12" t="n"/>
      <c r="H192" s="11" t="n"/>
      <c r="I192" s="11" t="n"/>
      <c r="J192" s="13" t="n"/>
      <c r="K192" s="13" t="n"/>
      <c r="L192" s="14" t="n"/>
      <c r="M192" s="11" t="n"/>
      <c r="N192" s="14" t="n"/>
      <c r="O192" s="15">
        <f>IF(COUNT(I192:L192)+COUNT(M192:N192)=0,"",IFERROR(I192*J192*K192*L192,0)+IFERROR(M192*4.3*N192,0))</f>
        <v/>
      </c>
      <c r="P192" s="15">
        <f>IF(O192="","",O192*6)</f>
        <v/>
      </c>
      <c r="Q192" s="16">
        <f>IF(P192="","",IF(R192="&lt;10k","Todavía no",IF(P192&lt;1500,"Todavía no",IF(P192&lt;3500,"Nivel 1","Nivel 2 o 3"))))</f>
        <v/>
      </c>
      <c r="R192" s="11" t="n"/>
      <c r="S192" s="11" t="n"/>
      <c r="T192" s="12" t="n"/>
      <c r="U192" s="11" t="n"/>
      <c r="V192" s="17" t="n"/>
    </row>
    <row r="193">
      <c r="A193" s="11" t="n"/>
      <c r="B193" s="11" t="n"/>
      <c r="C193" s="11" t="n"/>
      <c r="D193" s="11" t="n"/>
      <c r="E193" s="12" t="n"/>
      <c r="F193" s="12" t="n"/>
      <c r="G193" s="12" t="n"/>
      <c r="H193" s="11" t="n"/>
      <c r="I193" s="11" t="n"/>
      <c r="J193" s="13" t="n"/>
      <c r="K193" s="13" t="n"/>
      <c r="L193" s="14" t="n"/>
      <c r="M193" s="11" t="n"/>
      <c r="N193" s="14" t="n"/>
      <c r="O193" s="15">
        <f>IF(COUNT(I193:L193)+COUNT(M193:N193)=0,"",IFERROR(I193*J193*K193*L193,0)+IFERROR(M193*4.3*N193,0))</f>
        <v/>
      </c>
      <c r="P193" s="15">
        <f>IF(O193="","",O193*6)</f>
        <v/>
      </c>
      <c r="Q193" s="16">
        <f>IF(P193="","",IF(R193="&lt;10k","Todavía no",IF(P193&lt;1500,"Todavía no",IF(P193&lt;3500,"Nivel 1","Nivel 2 o 3"))))</f>
        <v/>
      </c>
      <c r="R193" s="11" t="n"/>
      <c r="S193" s="11" t="n"/>
      <c r="T193" s="12" t="n"/>
      <c r="U193" s="11" t="n"/>
      <c r="V193" s="17" t="n"/>
    </row>
    <row r="194">
      <c r="A194" s="11" t="n"/>
      <c r="B194" s="11" t="n"/>
      <c r="C194" s="11" t="n"/>
      <c r="D194" s="11" t="n"/>
      <c r="E194" s="12" t="n"/>
      <c r="F194" s="12" t="n"/>
      <c r="G194" s="12" t="n"/>
      <c r="H194" s="11" t="n"/>
      <c r="I194" s="11" t="n"/>
      <c r="J194" s="13" t="n"/>
      <c r="K194" s="13" t="n"/>
      <c r="L194" s="14" t="n"/>
      <c r="M194" s="11" t="n"/>
      <c r="N194" s="14" t="n"/>
      <c r="O194" s="15">
        <f>IF(COUNT(I194:L194)+COUNT(M194:N194)=0,"",IFERROR(I194*J194*K194*L194,0)+IFERROR(M194*4.3*N194,0))</f>
        <v/>
      </c>
      <c r="P194" s="15">
        <f>IF(O194="","",O194*6)</f>
        <v/>
      </c>
      <c r="Q194" s="16">
        <f>IF(P194="","",IF(R194="&lt;10k","Todavía no",IF(P194&lt;1500,"Todavía no",IF(P194&lt;3500,"Nivel 1","Nivel 2 o 3"))))</f>
        <v/>
      </c>
      <c r="R194" s="11" t="n"/>
      <c r="S194" s="11" t="n"/>
      <c r="T194" s="12" t="n"/>
      <c r="U194" s="11" t="n"/>
      <c r="V194" s="17" t="n"/>
    </row>
    <row r="195">
      <c r="A195" s="11" t="n"/>
      <c r="B195" s="11" t="n"/>
      <c r="C195" s="11" t="n"/>
      <c r="D195" s="11" t="n"/>
      <c r="E195" s="12" t="n"/>
      <c r="F195" s="12" t="n"/>
      <c r="G195" s="12" t="n"/>
      <c r="H195" s="11" t="n"/>
      <c r="I195" s="11" t="n"/>
      <c r="J195" s="13" t="n"/>
      <c r="K195" s="13" t="n"/>
      <c r="L195" s="14" t="n"/>
      <c r="M195" s="11" t="n"/>
      <c r="N195" s="14" t="n"/>
      <c r="O195" s="15">
        <f>IF(COUNT(I195:L195)+COUNT(M195:N195)=0,"",IFERROR(I195*J195*K195*L195,0)+IFERROR(M195*4.3*N195,0))</f>
        <v/>
      </c>
      <c r="P195" s="15">
        <f>IF(O195="","",O195*6)</f>
        <v/>
      </c>
      <c r="Q195" s="16">
        <f>IF(P195="","",IF(R195="&lt;10k","Todavía no",IF(P195&lt;1500,"Todavía no",IF(P195&lt;3500,"Nivel 1","Nivel 2 o 3"))))</f>
        <v/>
      </c>
      <c r="R195" s="11" t="n"/>
      <c r="S195" s="11" t="n"/>
      <c r="T195" s="12" t="n"/>
      <c r="U195" s="11" t="n"/>
      <c r="V195" s="17" t="n"/>
    </row>
    <row r="196">
      <c r="A196" s="11" t="n"/>
      <c r="B196" s="11" t="n"/>
      <c r="C196" s="11" t="n"/>
      <c r="D196" s="11" t="n"/>
      <c r="E196" s="12" t="n"/>
      <c r="F196" s="12" t="n"/>
      <c r="G196" s="12" t="n"/>
      <c r="H196" s="11" t="n"/>
      <c r="I196" s="11" t="n"/>
      <c r="J196" s="13" t="n"/>
      <c r="K196" s="13" t="n"/>
      <c r="L196" s="14" t="n"/>
      <c r="M196" s="11" t="n"/>
      <c r="N196" s="14" t="n"/>
      <c r="O196" s="15">
        <f>IF(COUNT(I196:L196)+COUNT(M196:N196)=0,"",IFERROR(I196*J196*K196*L196,0)+IFERROR(M196*4.3*N196,0))</f>
        <v/>
      </c>
      <c r="P196" s="15">
        <f>IF(O196="","",O196*6)</f>
        <v/>
      </c>
      <c r="Q196" s="16">
        <f>IF(P196="","",IF(R196="&lt;10k","Todavía no",IF(P196&lt;1500,"Todavía no",IF(P196&lt;3500,"Nivel 1","Nivel 2 o 3"))))</f>
        <v/>
      </c>
      <c r="R196" s="11" t="n"/>
      <c r="S196" s="11" t="n"/>
      <c r="T196" s="12" t="n"/>
      <c r="U196" s="11" t="n"/>
      <c r="V196" s="17" t="n"/>
    </row>
    <row r="197">
      <c r="A197" s="11" t="n"/>
      <c r="B197" s="11" t="n"/>
      <c r="C197" s="11" t="n"/>
      <c r="D197" s="11" t="n"/>
      <c r="E197" s="12" t="n"/>
      <c r="F197" s="12" t="n"/>
      <c r="G197" s="12" t="n"/>
      <c r="H197" s="11" t="n"/>
      <c r="I197" s="11" t="n"/>
      <c r="J197" s="13" t="n"/>
      <c r="K197" s="13" t="n"/>
      <c r="L197" s="14" t="n"/>
      <c r="M197" s="11" t="n"/>
      <c r="N197" s="14" t="n"/>
      <c r="O197" s="15">
        <f>IF(COUNT(I197:L197)+COUNT(M197:N197)=0,"",IFERROR(I197*J197*K197*L197,0)+IFERROR(M197*4.3*N197,0))</f>
        <v/>
      </c>
      <c r="P197" s="15">
        <f>IF(O197="","",O197*6)</f>
        <v/>
      </c>
      <c r="Q197" s="16">
        <f>IF(P197="","",IF(R197="&lt;10k","Todavía no",IF(P197&lt;1500,"Todavía no",IF(P197&lt;3500,"Nivel 1","Nivel 2 o 3"))))</f>
        <v/>
      </c>
      <c r="R197" s="11" t="n"/>
      <c r="S197" s="11" t="n"/>
      <c r="T197" s="12" t="n"/>
      <c r="U197" s="11" t="n"/>
      <c r="V197" s="17" t="n"/>
    </row>
    <row r="198">
      <c r="A198" s="11" t="n"/>
      <c r="B198" s="11" t="n"/>
      <c r="C198" s="11" t="n"/>
      <c r="D198" s="11" t="n"/>
      <c r="E198" s="12" t="n"/>
      <c r="F198" s="12" t="n"/>
      <c r="G198" s="12" t="n"/>
      <c r="H198" s="11" t="n"/>
      <c r="I198" s="11" t="n"/>
      <c r="J198" s="13" t="n"/>
      <c r="K198" s="13" t="n"/>
      <c r="L198" s="14" t="n"/>
      <c r="M198" s="11" t="n"/>
      <c r="N198" s="14" t="n"/>
      <c r="O198" s="15">
        <f>IF(COUNT(I198:L198)+COUNT(M198:N198)=0,"",IFERROR(I198*J198*K198*L198,0)+IFERROR(M198*4.3*N198,0))</f>
        <v/>
      </c>
      <c r="P198" s="15">
        <f>IF(O198="","",O198*6)</f>
        <v/>
      </c>
      <c r="Q198" s="16">
        <f>IF(P198="","",IF(R198="&lt;10k","Todavía no",IF(P198&lt;1500,"Todavía no",IF(P198&lt;3500,"Nivel 1","Nivel 2 o 3"))))</f>
        <v/>
      </c>
      <c r="R198" s="11" t="n"/>
      <c r="S198" s="11" t="n"/>
      <c r="T198" s="12" t="n"/>
      <c r="U198" s="11" t="n"/>
      <c r="V198" s="17" t="n"/>
    </row>
    <row r="199">
      <c r="A199" s="11" t="n"/>
      <c r="B199" s="11" t="n"/>
      <c r="C199" s="11" t="n"/>
      <c r="D199" s="11" t="n"/>
      <c r="E199" s="12" t="n"/>
      <c r="F199" s="12" t="n"/>
      <c r="G199" s="12" t="n"/>
      <c r="H199" s="11" t="n"/>
      <c r="I199" s="11" t="n"/>
      <c r="J199" s="13" t="n"/>
      <c r="K199" s="13" t="n"/>
      <c r="L199" s="14" t="n"/>
      <c r="M199" s="11" t="n"/>
      <c r="N199" s="14" t="n"/>
      <c r="O199" s="15">
        <f>IF(COUNT(I199:L199)+COUNT(M199:N199)=0,"",IFERROR(I199*J199*K199*L199,0)+IFERROR(M199*4.3*N199,0))</f>
        <v/>
      </c>
      <c r="P199" s="15">
        <f>IF(O199="","",O199*6)</f>
        <v/>
      </c>
      <c r="Q199" s="16">
        <f>IF(P199="","",IF(R199="&lt;10k","Todavía no",IF(P199&lt;1500,"Todavía no",IF(P199&lt;3500,"Nivel 1","Nivel 2 o 3"))))</f>
        <v/>
      </c>
      <c r="R199" s="11" t="n"/>
      <c r="S199" s="11" t="n"/>
      <c r="T199" s="12" t="n"/>
      <c r="U199" s="11" t="n"/>
      <c r="V199" s="17" t="n"/>
    </row>
    <row r="200">
      <c r="A200" s="11" t="n"/>
      <c r="B200" s="11" t="n"/>
      <c r="C200" s="11" t="n"/>
      <c r="D200" s="11" t="n"/>
      <c r="E200" s="12" t="n"/>
      <c r="F200" s="12" t="n"/>
      <c r="G200" s="12" t="n"/>
      <c r="H200" s="11" t="n"/>
      <c r="I200" s="11" t="n"/>
      <c r="J200" s="13" t="n"/>
      <c r="K200" s="13" t="n"/>
      <c r="L200" s="14" t="n"/>
      <c r="M200" s="11" t="n"/>
      <c r="N200" s="14" t="n"/>
      <c r="O200" s="15">
        <f>IF(COUNT(I200:L200)+COUNT(M200:N200)=0,"",IFERROR(I200*J200*K200*L200,0)+IFERROR(M200*4.3*N200,0))</f>
        <v/>
      </c>
      <c r="P200" s="15">
        <f>IF(O200="","",O200*6)</f>
        <v/>
      </c>
      <c r="Q200" s="16">
        <f>IF(P200="","",IF(R200="&lt;10k","Todavía no",IF(P200&lt;1500,"Todavía no",IF(P200&lt;3500,"Nivel 1","Nivel 2 o 3"))))</f>
        <v/>
      </c>
      <c r="R200" s="11" t="n"/>
      <c r="S200" s="11" t="n"/>
      <c r="T200" s="12" t="n"/>
      <c r="U200" s="11" t="n"/>
      <c r="V200" s="17" t="n"/>
    </row>
    <row r="201">
      <c r="A201" s="11" t="n"/>
      <c r="B201" s="11" t="n"/>
      <c r="C201" s="11" t="n"/>
      <c r="D201" s="11" t="n"/>
      <c r="E201" s="12" t="n"/>
      <c r="F201" s="12" t="n"/>
      <c r="G201" s="12" t="n"/>
      <c r="H201" s="11" t="n"/>
      <c r="I201" s="11" t="n"/>
      <c r="J201" s="13" t="n"/>
      <c r="K201" s="13" t="n"/>
      <c r="L201" s="14" t="n"/>
      <c r="M201" s="11" t="n"/>
      <c r="N201" s="14" t="n"/>
      <c r="O201" s="15">
        <f>IF(COUNT(I201:L201)+COUNT(M201:N201)=0,"",IFERROR(I201*J201*K201*L201,0)+IFERROR(M201*4.3*N201,0))</f>
        <v/>
      </c>
      <c r="P201" s="15">
        <f>IF(O201="","",O201*6)</f>
        <v/>
      </c>
      <c r="Q201" s="16">
        <f>IF(P201="","",IF(R201="&lt;10k","Todavía no",IF(P201&lt;1500,"Todavía no",IF(P201&lt;3500,"Nivel 1","Nivel 2 o 3"))))</f>
        <v/>
      </c>
      <c r="R201" s="11" t="n"/>
      <c r="S201" s="11" t="n"/>
      <c r="T201" s="12" t="n"/>
      <c r="U201" s="11" t="n"/>
      <c r="V201" s="17" t="n"/>
    </row>
    <row r="202">
      <c r="A202" s="11" t="n"/>
      <c r="B202" s="11" t="n"/>
      <c r="C202" s="11" t="n"/>
      <c r="D202" s="11" t="n"/>
      <c r="E202" s="12" t="n"/>
      <c r="F202" s="12" t="n"/>
      <c r="G202" s="12" t="n"/>
      <c r="H202" s="11" t="n"/>
      <c r="I202" s="11" t="n"/>
      <c r="J202" s="13" t="n"/>
      <c r="K202" s="13" t="n"/>
      <c r="L202" s="14" t="n"/>
      <c r="M202" s="11" t="n"/>
      <c r="N202" s="14" t="n"/>
      <c r="O202" s="15">
        <f>IF(COUNT(I202:L202)+COUNT(M202:N202)=0,"",IFERROR(I202*J202*K202*L202,0)+IFERROR(M202*4.3*N202,0))</f>
        <v/>
      </c>
      <c r="P202" s="15">
        <f>IF(O202="","",O202*6)</f>
        <v/>
      </c>
      <c r="Q202" s="16">
        <f>IF(P202="","",IF(R202="&lt;10k","Todavía no",IF(P202&lt;1500,"Todavía no",IF(P202&lt;3500,"Nivel 1","Nivel 2 o 3"))))</f>
        <v/>
      </c>
      <c r="R202" s="11" t="n"/>
      <c r="S202" s="11" t="n"/>
      <c r="T202" s="12" t="n"/>
      <c r="U202" s="11" t="n"/>
      <c r="V202" s="17" t="n"/>
    </row>
    <row r="203">
      <c r="A203" s="11" t="n"/>
      <c r="B203" s="11" t="n"/>
      <c r="C203" s="11" t="n"/>
      <c r="D203" s="11" t="n"/>
      <c r="E203" s="12" t="n"/>
      <c r="F203" s="12" t="n"/>
      <c r="G203" s="12" t="n"/>
      <c r="H203" s="11" t="n"/>
      <c r="I203" s="11" t="n"/>
      <c r="J203" s="13" t="n"/>
      <c r="K203" s="13" t="n"/>
      <c r="L203" s="14" t="n"/>
      <c r="M203" s="11" t="n"/>
      <c r="N203" s="14" t="n"/>
      <c r="O203" s="15">
        <f>IF(COUNT(I203:L203)+COUNT(M203:N203)=0,"",IFERROR(I203*J203*K203*L203,0)+IFERROR(M203*4.3*N203,0))</f>
        <v/>
      </c>
      <c r="P203" s="15">
        <f>IF(O203="","",O203*6)</f>
        <v/>
      </c>
      <c r="Q203" s="16">
        <f>IF(P203="","",IF(R203="&lt;10k","Todavía no",IF(P203&lt;1500,"Todavía no",IF(P203&lt;3500,"Nivel 1","Nivel 2 o 3"))))</f>
        <v/>
      </c>
      <c r="R203" s="11" t="n"/>
      <c r="S203" s="11" t="n"/>
      <c r="T203" s="12" t="n"/>
      <c r="U203" s="11" t="n"/>
      <c r="V203" s="17" t="n"/>
    </row>
  </sheetData>
  <autoFilter ref="A2:V203"/>
  <conditionalFormatting sqref="A4:V203">
    <cfRule type="expression" priority="1" dxfId="0" stopIfTrue="0">
      <formula>AND($G4&lt;&gt;"",$G4&lt;=TODAY(),$H4&lt;&gt;"cerrado",$H4&lt;&gt;"descalificado")</formula>
    </cfRule>
  </conditionalFormatting>
  <dataValidations count="5">
    <dataValidation sqref="C3:C203" showDropDown="0" showInputMessage="0" showErrorMessage="0" allowBlank="1" promptTitle="Elegí una opción" prompt="T tibio · R referido · F frío · L landing" type="list">
      <formula1>"T,R,F,L"</formula1>
    </dataValidation>
    <dataValidation sqref="D3:D203" showDropDown="0" showInputMessage="0" showErrorMessage="0" allowBlank="1" promptTitle="Elegí una opción" prompt="Los cuatro dolores del avatar" type="list">
      <formula1>"1 · Seguimiento de leads y respuesta lenta,2 · Coordinación interna y traspasos,3 · Atención al cliente y consultas repetidas,4 · Carga de datos, reportes y facturación"</formula1>
    </dataValidation>
    <dataValidation sqref="H3:H203" showDropDown="0" showInputMessage="0" showErrorMessage="0" allowBlank="1" promptTitle="Elegí una opción" prompt="Estado del prospecto" type="list">
      <formula1>"abierto,reservó,sesión hecha,propuesta enviada,cerrado,estacionado,descalificado"</formula1>
    </dataValidation>
    <dataValidation sqref="R3:R203" showDropDown="0" showInputMessage="0" showErrorMessage="0" allowBlank="1" promptTitle="Elegí una opción" prompt="Facturación mensual del negocio, en dólares" type="list">
      <formula1>"&lt;10k,10–50k,&gt;50k"</formula1>
    </dataValidation>
    <dataValidation sqref="U3:U203" showDropDown="0" showInputMessage="0" showErrorMessage="0" allowBlank="1" promptTitle="Elegí una opción" prompt="Medio de cobro" type="list">
      <formula1>"Link tarjeta USD,Transferencia LLC,Pesos MEP"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CÁLCULO EN VIVO — una sesión por vez</t>
        </is>
      </c>
    </row>
    <row r="2">
      <c r="A2" s="2" t="inlineStr">
        <is>
          <t>Se completa mientras hablás. Amarillo: lo que dice el cliente. Gris: se calcula solo. Viene con el ejemplo cargado para que veas los controles en verde: borralo antes de la primera sesión real.</t>
        </is>
      </c>
    </row>
    <row r="4">
      <c r="A4" s="18" t="inlineStr">
        <is>
          <t>Las seis letras</t>
        </is>
      </c>
      <c r="B4" s="19" t="n"/>
      <c r="C4" s="20" t="inlineStr">
        <is>
          <t>hoja de números, sección 2</t>
        </is>
      </c>
      <c r="D4" s="19" t="n"/>
      <c r="E4" s="19" t="n"/>
      <c r="F4" s="19" t="n"/>
      <c r="G4" s="19" t="n"/>
    </row>
    <row r="5">
      <c r="A5" s="21" t="inlineStr">
        <is>
          <t>C — consultas por mes</t>
        </is>
      </c>
      <c r="B5" s="22" t="n">
        <v>100</v>
      </c>
    </row>
    <row r="6">
      <c r="A6" s="21" t="inlineStr">
        <is>
          <t>F — fracción que se pierde</t>
        </is>
      </c>
      <c r="B6" s="23" t="n">
        <v>0.2</v>
      </c>
    </row>
    <row r="7">
      <c r="A7" s="21" t="inlineStr">
        <is>
          <t>P — conversión de las bien atendidas</t>
        </is>
      </c>
      <c r="B7" s="23" t="n">
        <v>0.25</v>
      </c>
    </row>
    <row r="8">
      <c r="A8" s="21" t="inlineStr">
        <is>
          <t>T — ticket: primera venta o primer mes</t>
        </is>
      </c>
      <c r="B8" s="24" t="n">
        <v>200</v>
      </c>
    </row>
    <row r="9">
      <c r="A9" s="21" t="inlineStr">
        <is>
          <t>H — horas manuales por semana</t>
        </is>
      </c>
      <c r="B9" s="25" t="n">
        <v>12</v>
      </c>
    </row>
    <row r="10">
      <c r="A10" s="21" t="inlineStr">
        <is>
          <t>V — valor de esa hora (sueldo ÷ 170)</t>
        </is>
      </c>
      <c r="B10" s="26" t="n">
        <v>9</v>
      </c>
    </row>
    <row r="12">
      <c r="A12" s="27" t="inlineStr">
        <is>
          <t>Consultas perdidas por mes</t>
        </is>
      </c>
      <c r="B12" s="28">
        <f>B5*B6</f>
        <v/>
      </c>
      <c r="C12" s="19" t="n"/>
      <c r="D12" s="19" t="n"/>
      <c r="E12" s="19" t="n"/>
      <c r="F12" s="19" t="n"/>
      <c r="G12" s="19" t="n"/>
    </row>
    <row r="13">
      <c r="A13" s="21" t="inlineStr">
        <is>
          <t>Ventas en juego por mes</t>
        </is>
      </c>
      <c r="B13" s="28">
        <f>B12*B7</f>
        <v/>
      </c>
    </row>
    <row r="14">
      <c r="A14" s="21" t="inlineStr">
        <is>
          <t>Fuga comercial mensual</t>
        </is>
      </c>
      <c r="B14" s="29">
        <f>B13*B8</f>
        <v/>
      </c>
    </row>
    <row r="15">
      <c r="A15" s="21" t="inlineStr">
        <is>
          <t>Horas manuales mensuales</t>
        </is>
      </c>
      <c r="B15" s="28">
        <f>B9*4.3</f>
        <v/>
      </c>
    </row>
    <row r="16">
      <c r="A16" s="21" t="inlineStr">
        <is>
          <t>Costo de las horas</t>
        </is>
      </c>
      <c r="B16" s="29">
        <f>B15*B10</f>
        <v/>
      </c>
    </row>
    <row r="17">
      <c r="A17" s="30" t="inlineStr">
        <is>
          <t>TOTAL MENSUAL</t>
        </is>
      </c>
      <c r="B17" s="31">
        <f>B14+B16</f>
        <v/>
      </c>
    </row>
    <row r="18">
      <c r="A18" s="30" t="inlineStr">
        <is>
          <t>TOTAL × 6 (lo que decide el nivel)</t>
        </is>
      </c>
      <c r="B18" s="31">
        <f>B17*6</f>
        <v/>
      </c>
    </row>
    <row r="20">
      <c r="A20" s="30" t="inlineStr">
        <is>
          <t>Nivel sugerido</t>
        </is>
      </c>
      <c r="B20" s="32">
        <f>IF(B18&lt;1500,"Todavía no",IF(B18&lt;3500,"Nivel 1 — desde US$1.500","Nivel 2 — desde US$3.500 (Nivel 3 si además cambia procesos seguido, nadie va a ser dueño del sistema, o pide acompañamiento)"))</f>
        <v/>
      </c>
    </row>
    <row r="21">
      <c r="A21" s="33" t="inlineStr">
        <is>
          <t>Piso de cuota para Nivel 3 (2% de la facturación mensual)</t>
        </is>
      </c>
      <c r="B21" s="29">
        <f>IF(B22="","completá la facturación →",B22*0.02)</f>
        <v/>
      </c>
    </row>
    <row r="22">
      <c r="A22" s="33" t="inlineStr">
        <is>
          <t>Facturación mensual del cliente (para el piso del 2%)</t>
        </is>
      </c>
      <c r="B22" s="34" t="n">
        <v>25000</v>
      </c>
    </row>
    <row r="24">
      <c r="A24" s="18" t="inlineStr">
        <is>
          <t>El recorrido</t>
        </is>
      </c>
      <c r="B24" s="19" t="n"/>
      <c r="C24" s="20" t="inlineStr">
        <is>
          <t>ocho pasos: de la consulta al cobro</t>
        </is>
      </c>
      <c r="D24" s="19" t="n"/>
      <c r="E24" s="19" t="n"/>
      <c r="F24" s="19" t="n"/>
      <c r="G24" s="19" t="n"/>
    </row>
    <row r="25">
      <c r="A25" s="33" t="inlineStr">
        <is>
          <t>Paso 1</t>
        </is>
      </c>
      <c r="B25" s="35" t="n"/>
      <c r="C25" s="36" t="n"/>
      <c r="D25" s="36" t="n"/>
      <c r="E25" s="36" t="n"/>
      <c r="F25" s="36" t="n"/>
      <c r="G25" s="36" t="n"/>
    </row>
    <row r="26">
      <c r="A26" s="33" t="inlineStr">
        <is>
          <t>Paso 2</t>
        </is>
      </c>
      <c r="B26" s="35" t="n"/>
      <c r="C26" s="36" t="n"/>
      <c r="D26" s="36" t="n"/>
      <c r="E26" s="36" t="n"/>
      <c r="F26" s="36" t="n"/>
      <c r="G26" s="36" t="n"/>
    </row>
    <row r="27">
      <c r="A27" s="33" t="inlineStr">
        <is>
          <t>Paso 3</t>
        </is>
      </c>
      <c r="B27" s="35" t="n"/>
      <c r="C27" s="36" t="n"/>
      <c r="D27" s="36" t="n"/>
      <c r="E27" s="36" t="n"/>
      <c r="F27" s="36" t="n"/>
      <c r="G27" s="36" t="n"/>
    </row>
    <row r="28">
      <c r="A28" s="33" t="inlineStr">
        <is>
          <t>Paso 4</t>
        </is>
      </c>
      <c r="B28" s="35" t="n"/>
      <c r="C28" s="36" t="n"/>
      <c r="D28" s="36" t="n"/>
      <c r="E28" s="36" t="n"/>
      <c r="F28" s="36" t="n"/>
      <c r="G28" s="36" t="n"/>
    </row>
    <row r="29">
      <c r="A29" s="33" t="inlineStr">
        <is>
          <t>Paso 5</t>
        </is>
      </c>
      <c r="B29" s="35" t="n"/>
      <c r="C29" s="36" t="n"/>
      <c r="D29" s="36" t="n"/>
      <c r="E29" s="36" t="n"/>
      <c r="F29" s="36" t="n"/>
      <c r="G29" s="36" t="n"/>
    </row>
    <row r="30">
      <c r="A30" s="33" t="inlineStr">
        <is>
          <t>Paso 6</t>
        </is>
      </c>
      <c r="B30" s="35" t="n"/>
      <c r="C30" s="36" t="n"/>
      <c r="D30" s="36" t="n"/>
      <c r="E30" s="36" t="n"/>
      <c r="F30" s="36" t="n"/>
      <c r="G30" s="36" t="n"/>
    </row>
    <row r="31">
      <c r="A31" s="33" t="inlineStr">
        <is>
          <t>Paso 7</t>
        </is>
      </c>
      <c r="B31" s="35" t="n"/>
      <c r="C31" s="36" t="n"/>
      <c r="D31" s="36" t="n"/>
      <c r="E31" s="36" t="n"/>
      <c r="F31" s="36" t="n"/>
      <c r="G31" s="36" t="n"/>
    </row>
    <row r="32">
      <c r="A32" s="33" t="inlineStr">
        <is>
          <t>Paso 8</t>
        </is>
      </c>
      <c r="B32" s="35" t="n"/>
      <c r="C32" s="36" t="n"/>
      <c r="D32" s="36" t="n"/>
      <c r="E32" s="36" t="n"/>
      <c r="F32" s="36" t="n"/>
      <c r="G32" s="36" t="n"/>
    </row>
    <row r="34">
      <c r="A34" s="18" t="inlineStr">
        <is>
          <t>La tabla de fugas</t>
        </is>
      </c>
      <c r="B34" s="19" t="n"/>
      <c r="C34" s="20" t="inlineStr">
        <is>
          <t>el costo se calcula solo; las tres celdas de control tienen que dar 0</t>
        </is>
      </c>
      <c r="D34" s="19" t="n"/>
      <c r="E34" s="19" t="n"/>
      <c r="F34" s="19" t="n"/>
      <c r="G34" s="19" t="n"/>
    </row>
    <row r="35" ht="28" customHeight="1">
      <c r="A35" s="37" t="inlineStr">
        <is>
          <t>Dónde ocurre</t>
        </is>
      </c>
      <c r="B35" s="37" t="inlineStr">
        <is>
          <t>Tipo</t>
        </is>
      </c>
      <c r="C35" s="37" t="inlineStr">
        <is>
          <t>Veces/mes o hs/sem</t>
        </is>
      </c>
      <c r="D35" s="37" t="inlineStr">
        <is>
          <t>Minutos c/u</t>
        </is>
      </c>
      <c r="E35" s="37" t="inlineStr">
        <is>
          <t>Costo mensual</t>
        </is>
      </c>
      <c r="F35" s="37" t="inlineStr">
        <is>
          <t>Qué lo resuelve</t>
        </is>
      </c>
      <c r="G35" s="37" t="inlineStr">
        <is>
          <t>Prioridad</t>
        </is>
      </c>
    </row>
    <row r="36">
      <c r="A36" s="38" t="inlineStr">
        <is>
          <t>Consulta entra por WhatsApp y se contesta al otro día</t>
        </is>
      </c>
      <c r="B36" s="38" t="inlineStr">
        <is>
          <t>comercial</t>
        </is>
      </c>
      <c r="C36" s="38" t="n">
        <v>12</v>
      </c>
      <c r="D36" s="38" t="inlineStr">
        <is>
          <t>más de 24 h</t>
        </is>
      </c>
      <c r="E36" s="39">
        <f>IF(C36="","",IF(B36="comercial",C36*$B$7*$B$8,IF(B36="horas",C36*4.3*$B$10,"")))</f>
        <v/>
      </c>
      <c r="F36" s="38" t="inlineStr">
        <is>
          <t>Respuesta automática y aviso al que atiende</t>
        </is>
      </c>
      <c r="G36" s="38" t="inlineStr">
        <is>
          <t>1</t>
        </is>
      </c>
    </row>
    <row r="37">
      <c r="A37" s="38" t="inlineStr">
        <is>
          <t>Presupuesto enviado sin segundo intento</t>
        </is>
      </c>
      <c r="B37" s="38" t="inlineStr">
        <is>
          <t>comercial</t>
        </is>
      </c>
      <c r="C37" s="38" t="n">
        <v>8</v>
      </c>
      <c r="D37" s="38" t="inlineStr">
        <is>
          <t>—</t>
        </is>
      </c>
      <c r="E37" s="39">
        <f>IF(C37="","",IF(B37="comercial",C37*$B$7*$B$8,IF(B37="horas",C37*4.3*$B$10,"")))</f>
        <v/>
      </c>
      <c r="F37" s="38" t="inlineStr">
        <is>
          <t>Recordatorio a las 48 h con tarea asignada</t>
        </is>
      </c>
      <c r="G37" s="38" t="inlineStr">
        <is>
          <t>1</t>
        </is>
      </c>
    </row>
    <row r="38">
      <c r="A38" s="38" t="inlineStr">
        <is>
          <t>Cargar consultas a mano en la planilla</t>
        </is>
      </c>
      <c r="B38" s="38" t="inlineStr">
        <is>
          <t>horas</t>
        </is>
      </c>
      <c r="C38" s="38" t="n">
        <v>4</v>
      </c>
      <c r="D38" s="38" t="inlineStr">
        <is>
          <t>10 min c/u</t>
        </is>
      </c>
      <c r="E38" s="39">
        <f>IF(C38="","",IF(B38="comercial",C38*$B$7*$B$8,IF(B38="horas",C38*4.3*$B$10,"")))</f>
        <v/>
      </c>
      <c r="F38" s="38" t="inlineStr">
        <is>
          <t>Formulario que carga solo</t>
        </is>
      </c>
      <c r="G38" s="38" t="inlineStr">
        <is>
          <t>2</t>
        </is>
      </c>
    </row>
    <row r="39">
      <c r="A39" s="38" t="inlineStr">
        <is>
          <t>Armar cada presupuesto desde cero</t>
        </is>
      </c>
      <c r="B39" s="38" t="inlineStr">
        <is>
          <t>horas</t>
        </is>
      </c>
      <c r="C39" s="38" t="n">
        <v>3</v>
      </c>
      <c r="D39" s="38" t="inlineStr">
        <is>
          <t>15 min c/u</t>
        </is>
      </c>
      <c r="E39" s="39">
        <f>IF(C39="","",IF(B39="comercial",C39*$B$7*$B$8,IF(B39="horas",C39*4.3*$B$10,"")))</f>
        <v/>
      </c>
      <c r="F39" s="38" t="inlineStr">
        <is>
          <t>Plantilla con datos precargados</t>
        </is>
      </c>
      <c r="G39" s="38" t="inlineStr">
        <is>
          <t>2</t>
        </is>
      </c>
    </row>
    <row r="40">
      <c r="A40" s="38" t="inlineStr">
        <is>
          <t>Contestar las mismas preguntas</t>
        </is>
      </c>
      <c r="B40" s="38" t="inlineStr">
        <is>
          <t>horas</t>
        </is>
      </c>
      <c r="C40" s="38" t="n">
        <v>3</v>
      </c>
      <c r="D40" s="38" t="inlineStr">
        <is>
          <t>7 min c/u</t>
        </is>
      </c>
      <c r="E40" s="39">
        <f>IF(C40="","",IF(B40="comercial",C40*$B$7*$B$8,IF(B40="horas",C40*4.3*$B$10,"")))</f>
        <v/>
      </c>
      <c r="F40" s="38" t="inlineStr">
        <is>
          <t>Respuestas guardadas</t>
        </is>
      </c>
      <c r="G40" s="38" t="inlineStr">
        <is>
          <t>3</t>
        </is>
      </c>
    </row>
    <row r="41">
      <c r="A41" s="38" t="inlineStr">
        <is>
          <t>Pasar datos a facturación</t>
        </is>
      </c>
      <c r="B41" s="38" t="inlineStr">
        <is>
          <t>horas</t>
        </is>
      </c>
      <c r="C41" s="38" t="n">
        <v>2</v>
      </c>
      <c r="D41" s="38" t="inlineStr">
        <is>
          <t>—</t>
        </is>
      </c>
      <c r="E41" s="39">
        <f>IF(C41="","",IF(B41="comercial",C41*$B$7*$B$8,IF(B41="horas",C41*4.3*$B$10,"")))</f>
        <v/>
      </c>
      <c r="F41" s="38" t="inlineStr">
        <is>
          <t>Integración</t>
        </is>
      </c>
      <c r="G41" s="38" t="inlineStr">
        <is>
          <t>no tocar</t>
        </is>
      </c>
    </row>
    <row r="43">
      <c r="A43" s="21" t="inlineStr">
        <is>
          <t>Control 1 — consultas repartidas menos C × F</t>
        </is>
      </c>
      <c r="B43" s="40">
        <f>IF(COUNT($C$36:$C$41)=0,"",ROUND(SUMIF($B$36:$B$41,"comercial",$C$36:$C$41)-B12,2))</f>
        <v/>
      </c>
      <c r="C43" s="2" t="inlineStr">
        <is>
          <t>Verde = cuadra. Rojo = falta repartir algo; se pregunta en la sesión, no se completa después.</t>
        </is>
      </c>
    </row>
    <row r="44">
      <c r="A44" s="21" t="inlineStr">
        <is>
          <t>Control 2 — horas repartidas menos H</t>
        </is>
      </c>
      <c r="B44" s="40">
        <f>IF(COUNT($C$36:$C$41)=0,"",ROUND(SUMIF($B$36:$B$41,"horas",$C$36:$C$41)-B9,2))</f>
        <v/>
      </c>
    </row>
    <row r="45">
      <c r="A45" s="21" t="inlineStr">
        <is>
          <t>Control 3 — suma de la tabla menos el total</t>
        </is>
      </c>
      <c r="B45" s="40">
        <f>IF(COUNT($C$36:$C$41)=0,"",ROUND(SUM($E$36:$E$41)-B17,0))</f>
        <v/>
      </c>
    </row>
    <row r="47">
      <c r="A47" s="2" t="inlineStr">
        <is>
          <t>Prueba de que la planilla está bien armada: con el ejemplo cargado (100 · 20% · 25% · US$200 · 12 h · US$9) el TOTAL MENSUAL tiene que dar US$1.464 y el TOTAL × 6, unos US$8.784.</t>
        </is>
      </c>
    </row>
  </sheetData>
  <mergeCells count="8">
    <mergeCell ref="B28:G28"/>
    <mergeCell ref="B31:G31"/>
    <mergeCell ref="B27:G27"/>
    <mergeCell ref="B32:G32"/>
    <mergeCell ref="B26:G26"/>
    <mergeCell ref="B30:G30"/>
    <mergeCell ref="B29:G29"/>
    <mergeCell ref="B25:G25"/>
  </mergeCells>
  <conditionalFormatting sqref="B43">
    <cfRule type="expression" priority="1" dxfId="1">
      <formula>AND(B43&lt;&gt;"",B43=0)</formula>
    </cfRule>
    <cfRule type="expression" priority="2" dxfId="2">
      <formula>AND(B43&lt;&gt;"",B43&lt;&gt;0)</formula>
    </cfRule>
  </conditionalFormatting>
  <conditionalFormatting sqref="B44">
    <cfRule type="expression" priority="3" dxfId="1">
      <formula>AND(B44&lt;&gt;"",B44=0)</formula>
    </cfRule>
    <cfRule type="expression" priority="4" dxfId="2">
      <formula>AND(B44&lt;&gt;"",B44&lt;&gt;0)</formula>
    </cfRule>
  </conditionalFormatting>
  <conditionalFormatting sqref="B45">
    <cfRule type="expression" priority="5" dxfId="1">
      <formula>AND(B45&lt;&gt;"",B45=0)</formula>
    </cfRule>
    <cfRule type="expression" priority="6" dxfId="2">
      <formula>AND(B45&lt;&gt;"",B45&lt;&gt;0)</formula>
    </cfRule>
  </conditionalFormatting>
  <dataValidations count="2">
    <dataValidation sqref="B36:B41" showDropDown="0" showInputMessage="0" showErrorMessage="0" allowBlank="1" type="list">
      <formula1>"comercial,horas"</formula1>
    </dataValidation>
    <dataValidation sqref="G36:G41" showDropDown="0" showInputMessage="0" showErrorMessage="0" allowBlank="1" type="list">
      <formula1>"1,2,3,no tocar"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TABLERO DEL SPRINT</t>
        </is>
      </c>
    </row>
    <row r="2">
      <c r="A2" s="2" t="inlineStr">
        <is>
          <t>Todo se calcula desde Prospectos. Acá no se escribe nada.</t>
        </is>
      </c>
    </row>
    <row r="4">
      <c r="A4" s="18" t="inlineStr">
        <is>
          <t>Los mínimos del mes</t>
        </is>
      </c>
      <c r="B4" s="19" t="n"/>
      <c r="C4" s="19" t="n"/>
      <c r="D4" s="19" t="n"/>
      <c r="E4" s="19" t="n"/>
      <c r="F4" s="19" t="n"/>
      <c r="G4" s="19" t="n"/>
    </row>
    <row r="5">
      <c r="A5" s="21" t="inlineStr">
        <is>
          <t>Contactos cargados</t>
        </is>
      </c>
      <c r="B5" s="41">
        <f>COUNTA(Prospectos!$A$4:$A$203)</f>
        <v/>
      </c>
    </row>
    <row r="6">
      <c r="A6" s="21" t="inlineStr">
        <is>
          <t>Conversaciones de venta (precio dicho)</t>
        </is>
      </c>
      <c r="B6" s="41">
        <f>COUNT(Prospectos!$T$4:$T$203)</f>
        <v/>
      </c>
      <c r="C6" s="42" t="n">
        <v>12</v>
      </c>
      <c r="D6" s="2" t="inlineStr">
        <is>
          <t>objetivo del mes</t>
        </is>
      </c>
    </row>
    <row r="7">
      <c r="A7" s="21" t="inlineStr">
        <is>
          <t>Diagnósticos reservados</t>
        </is>
      </c>
      <c r="B7" s="41">
        <f>COUNTIF(Prospectos!$H$4:$H$203,"reservó")</f>
        <v/>
      </c>
    </row>
    <row r="8">
      <c r="A8" s="21" t="inlineStr">
        <is>
          <t>Sesiones hechas</t>
        </is>
      </c>
      <c r="B8" s="41">
        <f>COUNTIF(Prospectos!$H$4:$H$203,"sesión hecha")</f>
        <v/>
      </c>
    </row>
    <row r="9">
      <c r="A9" s="21" t="inlineStr">
        <is>
          <t>Propuestas enviadas</t>
        </is>
      </c>
      <c r="B9" s="41">
        <f>COUNTIF(Prospectos!$H$4:$H$203,"propuesta enviada")</f>
        <v/>
      </c>
    </row>
    <row r="10">
      <c r="A10" s="21" t="inlineStr">
        <is>
          <t>Cerrados</t>
        </is>
      </c>
      <c r="B10" s="41">
        <f>COUNTIF(Prospectos!$H$4:$H$203,"cerrado")</f>
        <v/>
      </c>
      <c r="C10" s="42" t="n">
        <v>2</v>
      </c>
      <c r="D10" s="2" t="inlineStr">
        <is>
          <t>objetivo del mes</t>
        </is>
      </c>
    </row>
    <row r="12">
      <c r="A12" s="18" t="inlineStr">
        <is>
          <t>Hoy</t>
        </is>
      </c>
      <c r="B12" s="19" t="n"/>
      <c r="C12" s="19" t="n"/>
      <c r="D12" s="19" t="n"/>
      <c r="E12" s="19" t="n"/>
      <c r="F12" s="19" t="n"/>
      <c r="G12" s="19" t="n"/>
    </row>
    <row r="13">
      <c r="A13" s="21" t="inlineStr">
        <is>
          <t>Toques que vencen hoy o antes</t>
        </is>
      </c>
      <c r="B13" s="41">
        <f>COUNTIFS(Prospectos!$G$4:$G$203,"&lt;="&amp;TODAY(),Prospectos!$H$4:$H$203,"&lt;&gt;cerrado")</f>
        <v/>
      </c>
    </row>
    <row r="14">
      <c r="A14" s="21" t="inlineStr">
        <is>
          <t>Abiertos sin próximo toque cargado</t>
        </is>
      </c>
      <c r="B14" s="41">
        <f>COUNTIFS(Prospectos!$A$4:$A$203,"&lt;&gt;",Prospectos!$G$4:$G$203,"",Prospectos!$H$4:$H$203,"abierto")</f>
        <v/>
      </c>
    </row>
    <row r="16">
      <c r="A16" s="18" t="inlineStr">
        <is>
          <t>Por origen</t>
        </is>
      </c>
      <c r="B16" s="19" t="n"/>
      <c r="C16" s="20" t="inlineStr">
        <is>
          <t>la red tibia primero</t>
        </is>
      </c>
      <c r="D16" s="19" t="n"/>
      <c r="E16" s="19" t="n"/>
      <c r="F16" s="19" t="n"/>
      <c r="G16" s="19" t="n"/>
    </row>
    <row r="17">
      <c r="A17" s="21" t="inlineStr">
        <is>
          <t>Tibios</t>
        </is>
      </c>
      <c r="B17" s="43">
        <f>COUNTIF(Prospectos!$C$4:$C$203,"T")</f>
        <v/>
      </c>
    </row>
    <row r="18">
      <c r="A18" s="21" t="inlineStr">
        <is>
          <t>Referidos</t>
        </is>
      </c>
      <c r="B18" s="43">
        <f>COUNTIF(Prospectos!$C$4:$C$203,"R")</f>
        <v/>
      </c>
    </row>
    <row r="19">
      <c r="A19" s="21" t="inlineStr">
        <is>
          <t>Fríos</t>
        </is>
      </c>
      <c r="B19" s="43">
        <f>COUNTIF(Prospectos!$C$4:$C$203,"F")</f>
        <v/>
      </c>
    </row>
    <row r="20">
      <c r="A20" s="21" t="inlineStr">
        <is>
          <t>Landing</t>
        </is>
      </c>
      <c r="B20" s="43">
        <f>COUNTIF(Prospectos!$C$4:$C$203,"L")</f>
        <v/>
      </c>
    </row>
    <row r="22">
      <c r="A22" s="18" t="inlineStr">
        <is>
          <t>Fuga total identificada</t>
        </is>
      </c>
      <c r="B22" s="19" t="n"/>
      <c r="C22" s="19" t="n"/>
      <c r="D22" s="19" t="n"/>
      <c r="E22" s="19" t="n"/>
      <c r="F22" s="19" t="n"/>
      <c r="G22" s="19" t="n"/>
    </row>
    <row r="23">
      <c r="A23" s="21" t="inlineStr">
        <is>
          <t>Suma de "Total mensual" de los abiertos</t>
        </is>
      </c>
      <c r="B23" s="31">
        <f>SUMIFS(Prospectos!$O$4:$O$203,Prospectos!$H$4:$H$203,"abierto")</f>
        <v/>
      </c>
    </row>
    <row r="26">
      <c r="A26" s="2" t="inlineStr">
        <is>
          <t>La fila 3 de Prospectos es el ejemplo y no entra en ningún contador: los datos reales arrancan en la fila 4. Podés borrarla o dejarla.</t>
        </is>
      </c>
    </row>
  </sheetData>
  <conditionalFormatting sqref="B6">
    <cfRule type="expression" priority="1" dxfId="1">
      <formula>B6&gt;=C6</formula>
    </cfRule>
  </conditionalFormatting>
  <conditionalFormatting sqref="B10">
    <cfRule type="expression" priority="2" dxfId="1">
      <formula>B10&gt;=C10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2026-09-02T14:52:58Z</dcterms:created>
  <dcterms:modified xsi:type="dcterms:W3CDTF">2026-09-02T14:52:59Z</dcterms:modified>
</cp:coreProperties>
</file>